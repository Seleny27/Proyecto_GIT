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6DF7EF43-EFDC-4B88-93A0-4B6F34476E6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FORMACIÓN GENERAL" sheetId="3" r:id="rId1"/>
    <sheet name="DATOS" sheetId="1" r:id="rId2"/>
  </sheets>
  <definedNames>
    <definedName name="_xlnm._FilterDatabase" localSheetId="1" hidden="1">DATOS!$B$1:$L$189</definedName>
    <definedName name="_xlnm._FilterDatabase" localSheetId="0" hidden="1">'INFORMACIÓN GENERAL'!$A$1:$I$27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9" i="1" l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78" i="1"/>
  <c r="L178" i="1" s="1"/>
  <c r="K173" i="1"/>
  <c r="L173" i="1"/>
  <c r="K174" i="1"/>
  <c r="L174" i="1"/>
  <c r="K175" i="1"/>
  <c r="L175" i="1"/>
  <c r="K176" i="1"/>
  <c r="L176" i="1"/>
  <c r="K177" i="1"/>
  <c r="L177" i="1"/>
  <c r="K172" i="1"/>
  <c r="L172" i="1" s="1"/>
  <c r="K167" i="1"/>
  <c r="L167" i="1" s="1"/>
  <c r="K168" i="1"/>
  <c r="L168" i="1" s="1"/>
  <c r="K169" i="1"/>
  <c r="L169" i="1" s="1"/>
  <c r="K170" i="1"/>
  <c r="L170" i="1" s="1"/>
  <c r="K171" i="1"/>
  <c r="L171" i="1" s="1"/>
  <c r="K166" i="1"/>
  <c r="L166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50" i="1"/>
  <c r="L150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38" i="1"/>
  <c r="L138" i="1" s="1"/>
  <c r="K136" i="1"/>
  <c r="L136" i="1" s="1"/>
  <c r="K137" i="1"/>
  <c r="L137" i="1" s="1"/>
  <c r="K135" i="1"/>
  <c r="L135" i="1" s="1"/>
  <c r="K134" i="1"/>
  <c r="L134" i="1" s="1"/>
  <c r="K17" i="1"/>
  <c r="L17" i="1" s="1"/>
  <c r="K18" i="1"/>
  <c r="L18" i="1" s="1"/>
  <c r="K19" i="1"/>
  <c r="L19" i="1" s="1"/>
  <c r="K130" i="1"/>
  <c r="L130" i="1" s="1"/>
  <c r="K131" i="1"/>
  <c r="L131" i="1" s="1"/>
  <c r="K132" i="1"/>
  <c r="L132" i="1" s="1"/>
  <c r="K20" i="1"/>
  <c r="L20" i="1" s="1"/>
  <c r="K133" i="1"/>
  <c r="L133" i="1" s="1"/>
  <c r="K16" i="1"/>
  <c r="L16" i="1" s="1"/>
  <c r="K128" i="1"/>
  <c r="L128" i="1" s="1"/>
  <c r="K129" i="1"/>
  <c r="L129" i="1" s="1"/>
  <c r="K127" i="1"/>
  <c r="L127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18" i="1"/>
  <c r="L118" i="1" s="1"/>
  <c r="K114" i="1"/>
  <c r="L114" i="1" s="1"/>
  <c r="K115" i="1"/>
  <c r="L115" i="1" s="1"/>
  <c r="K116" i="1"/>
  <c r="L116" i="1" s="1"/>
  <c r="K117" i="1"/>
  <c r="L117" i="1" s="1"/>
  <c r="K113" i="1"/>
  <c r="L113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04" i="1"/>
  <c r="L104" i="1" s="1"/>
  <c r="K99" i="1"/>
  <c r="L99" i="1" s="1"/>
  <c r="K100" i="1"/>
  <c r="L100" i="1" s="1"/>
  <c r="K101" i="1"/>
  <c r="L101" i="1" s="1"/>
  <c r="K102" i="1"/>
  <c r="L102" i="1" s="1"/>
  <c r="K103" i="1"/>
  <c r="L103" i="1" s="1"/>
  <c r="K98" i="1"/>
  <c r="L98" i="1" s="1"/>
  <c r="K95" i="1"/>
  <c r="L95" i="1"/>
  <c r="K96" i="1"/>
  <c r="L96" i="1"/>
  <c r="K97" i="1"/>
  <c r="L97" i="1"/>
  <c r="K94" i="1"/>
  <c r="L94" i="1" s="1"/>
  <c r="K90" i="1"/>
  <c r="L90" i="1" s="1"/>
  <c r="K91" i="1"/>
  <c r="L91" i="1" s="1"/>
  <c r="K92" i="1"/>
  <c r="L92" i="1" s="1"/>
  <c r="K93" i="1"/>
  <c r="L93" i="1" s="1"/>
  <c r="K89" i="1"/>
  <c r="L89" i="1" s="1"/>
  <c r="K87" i="1"/>
  <c r="L87" i="1" s="1"/>
  <c r="K88" i="1"/>
  <c r="L88" i="1" s="1"/>
  <c r="K86" i="1"/>
  <c r="L86" i="1" s="1"/>
  <c r="K84" i="1"/>
  <c r="L84" i="1" s="1"/>
  <c r="K85" i="1"/>
  <c r="L85" i="1" s="1"/>
  <c r="K83" i="1"/>
  <c r="L83" i="1" s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72" i="1"/>
  <c r="L72" i="1" s="1"/>
  <c r="K10" i="1"/>
  <c r="L10" i="1" s="1"/>
  <c r="K11" i="1"/>
  <c r="L11" i="1" s="1"/>
  <c r="K12" i="1"/>
  <c r="L12" i="1" s="1"/>
  <c r="K13" i="1"/>
  <c r="L13" i="1" s="1"/>
  <c r="K14" i="1"/>
  <c r="L14" i="1" s="1"/>
  <c r="K64" i="1"/>
  <c r="L64" i="1" s="1"/>
  <c r="K15" i="1"/>
  <c r="L15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9" i="1"/>
  <c r="L9" i="1" s="1"/>
  <c r="K60" i="1"/>
  <c r="L60" i="1" s="1"/>
  <c r="K61" i="1"/>
  <c r="L61" i="1" s="1"/>
  <c r="K62" i="1"/>
  <c r="L62" i="1" s="1"/>
  <c r="K63" i="1"/>
  <c r="L63" i="1" s="1"/>
  <c r="K59" i="1"/>
  <c r="L5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29" i="1"/>
  <c r="L29" i="1" s="1"/>
  <c r="K3" i="1"/>
  <c r="L3" i="1"/>
  <c r="K4" i="1"/>
  <c r="L4" i="1"/>
  <c r="K5" i="1"/>
  <c r="L5" i="1"/>
  <c r="K6" i="1"/>
  <c r="L6" i="1"/>
  <c r="K7" i="1"/>
  <c r="L7" i="1"/>
  <c r="K53" i="1"/>
  <c r="L53" i="1"/>
  <c r="K54" i="1"/>
  <c r="L54" i="1"/>
  <c r="K8" i="1"/>
  <c r="L8" i="1"/>
  <c r="K55" i="1"/>
  <c r="L55" i="1"/>
  <c r="K56" i="1"/>
  <c r="L56" i="1"/>
  <c r="K57" i="1"/>
  <c r="L57" i="1"/>
  <c r="K58" i="1"/>
  <c r="L58" i="1"/>
  <c r="I7" i="1"/>
  <c r="I53" i="1"/>
  <c r="I54" i="1"/>
  <c r="I8" i="1"/>
  <c r="I55" i="1"/>
  <c r="I56" i="1"/>
  <c r="I57" i="1"/>
  <c r="I58" i="1"/>
  <c r="I6" i="1"/>
  <c r="I5" i="1"/>
  <c r="I4" i="1"/>
  <c r="I3" i="1"/>
  <c r="K2" i="1"/>
  <c r="L2" i="1"/>
  <c r="I2" i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I47" i="1"/>
  <c r="I48" i="1"/>
  <c r="I49" i="1"/>
  <c r="I50" i="1"/>
  <c r="I51" i="1"/>
  <c r="I52" i="1"/>
  <c r="K37" i="1"/>
  <c r="J47" i="1"/>
  <c r="J46" i="1"/>
  <c r="I46" i="1"/>
  <c r="K45" i="1"/>
  <c r="L45" i="1" s="1"/>
  <c r="J45" i="1"/>
  <c r="I45" i="1"/>
  <c r="K44" i="1"/>
  <c r="L44" i="1" s="1"/>
  <c r="J44" i="1"/>
  <c r="I44" i="1"/>
  <c r="K43" i="1"/>
  <c r="L43" i="1" s="1"/>
  <c r="J43" i="1"/>
  <c r="I43" i="1"/>
  <c r="K42" i="1"/>
  <c r="L42" i="1" s="1"/>
  <c r="J42" i="1"/>
  <c r="I42" i="1"/>
  <c r="J41" i="1"/>
  <c r="K41" i="1"/>
  <c r="L41" i="1" s="1"/>
  <c r="I41" i="1"/>
  <c r="K40" i="1"/>
  <c r="L40" i="1" s="1"/>
  <c r="J40" i="1"/>
  <c r="I40" i="1"/>
  <c r="J22" i="1"/>
  <c r="J23" i="1"/>
  <c r="J24" i="1"/>
  <c r="J21" i="1"/>
  <c r="J25" i="1"/>
  <c r="J26" i="1"/>
  <c r="J27" i="1"/>
  <c r="J28" i="1"/>
  <c r="J37" i="1"/>
  <c r="J38" i="1"/>
  <c r="J39" i="1"/>
  <c r="K39" i="1"/>
  <c r="L39" i="1" s="1"/>
  <c r="I39" i="1"/>
  <c r="K38" i="1"/>
  <c r="L38" i="1" s="1"/>
  <c r="I38" i="1"/>
  <c r="K21" i="1"/>
  <c r="L21" i="1" s="1"/>
  <c r="I37" i="1"/>
  <c r="I22" i="1"/>
  <c r="I23" i="1"/>
  <c r="I24" i="1"/>
  <c r="I25" i="1"/>
  <c r="I26" i="1"/>
  <c r="I27" i="1"/>
  <c r="I28" i="1"/>
  <c r="I21" i="1"/>
  <c r="L37" i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</calcChain>
</file>

<file path=xl/sharedStrings.xml><?xml version="1.0" encoding="utf-8"?>
<sst xmlns="http://schemas.openxmlformats.org/spreadsheetml/2006/main" count="801" uniqueCount="178">
  <si>
    <t>CODIGO MUNICIPIO</t>
  </si>
  <si>
    <t>DEPARTAMENTO</t>
  </si>
  <si>
    <t>MUNICIPIO</t>
  </si>
  <si>
    <t>VOTANTES</t>
  </si>
  <si>
    <t>VOTOS VALIDOS</t>
  </si>
  <si>
    <t>VOTANTES POTENCIALES</t>
  </si>
  <si>
    <t>% VOTANTES</t>
  </si>
  <si>
    <t>N° ABSTENCIÓN</t>
  </si>
  <si>
    <t>% ABSTENCIÓN</t>
  </si>
  <si>
    <t>VALLE DEL CAUCA</t>
  </si>
  <si>
    <t>FLORIDA</t>
  </si>
  <si>
    <t>PRADERA</t>
  </si>
  <si>
    <t>CAUCA</t>
  </si>
  <si>
    <t>MIRANDA</t>
  </si>
  <si>
    <t>BUGALAGRANDE</t>
  </si>
  <si>
    <t>ZARZAL</t>
  </si>
  <si>
    <t>CANDELARIA</t>
  </si>
  <si>
    <t>ROLDANILLO</t>
  </si>
  <si>
    <t>LA UNION</t>
  </si>
  <si>
    <t>BOLIVAR</t>
  </si>
  <si>
    <t>TORO</t>
  </si>
  <si>
    <t>OBANDO</t>
  </si>
  <si>
    <t>BUENOS AIRES</t>
  </si>
  <si>
    <t>CALDONO</t>
  </si>
  <si>
    <t>CALOTO</t>
  </si>
  <si>
    <t>CORINTO</t>
  </si>
  <si>
    <t>GUACHENÉ</t>
  </si>
  <si>
    <t>JAMBALÓ</t>
  </si>
  <si>
    <t>PADILLA</t>
  </si>
  <si>
    <t>PUERTO TEJADA</t>
  </si>
  <si>
    <t>SANTANDER DE QUILICHAO</t>
  </si>
  <si>
    <t>SUAREZ</t>
  </si>
  <si>
    <t>TORIBIO</t>
  </si>
  <si>
    <t>VILLA RICA</t>
  </si>
  <si>
    <t>PARTIDO POLÍTICO</t>
  </si>
  <si>
    <t>NUMERO DE VOTOS</t>
  </si>
  <si>
    <t>% VOTOS</t>
  </si>
  <si>
    <t>76275</t>
  </si>
  <si>
    <t>POLÍTICA DE LA FELICIDAD FLORIDA</t>
  </si>
  <si>
    <t>PARTIDO CAMBIO RADICAL</t>
  </si>
  <si>
    <t>PARTIDO POLÍTICO MIRA</t>
  </si>
  <si>
    <t>CLUB DEPORTIVO EVOLUCION DEPORTIVA</t>
  </si>
  <si>
    <t>PARTIDO DE LA UNIÓN POR LA GENTE - PARTIDO DE LA U</t>
  </si>
  <si>
    <t>VOCES JUVENILES</t>
  </si>
  <si>
    <t>FUNDACIÓN + COLOMBIA</t>
  </si>
  <si>
    <t>76563</t>
  </si>
  <si>
    <t>FUNDACION SAN CLEMENTE</t>
  </si>
  <si>
    <t>FUNDACION DEPORTIVA DE PATINAJE ECOLOGICA Y AMBIENTE RENACER</t>
  </si>
  <si>
    <t>POLITICA DE LA FELICIDAD</t>
  </si>
  <si>
    <t>CONSTRUYENDO IDEAS</t>
  </si>
  <si>
    <t>NUEVA GENERACIÓN PRADERA</t>
  </si>
  <si>
    <t>19455</t>
  </si>
  <si>
    <t>REDEJOCA</t>
  </si>
  <si>
    <t>PARTIDO LIBERAL COLOMBIANO</t>
  </si>
  <si>
    <t>ASOCAMJI - ASOCIACION CAMPESINA JUVENIL INTERCULTURAL</t>
  </si>
  <si>
    <t>MOVIMIENTO CAMPESINO DE RAICES JUVENILES</t>
  </si>
  <si>
    <t>COMUNALITOS</t>
  </si>
  <si>
    <t>76113</t>
  </si>
  <si>
    <t>PARTIDO ALIANZA SOCIAL INDEPENDIENTE "ASI"</t>
  </si>
  <si>
    <t>FUNDACONFUTURO</t>
  </si>
  <si>
    <t>MACONDO FUERZA POPULAR</t>
  </si>
  <si>
    <t>PARTIDO COLOMBIA RENACIENTE</t>
  </si>
  <si>
    <t>POR AMOR A BUGALAGRANDE</t>
  </si>
  <si>
    <t>PARTIDO POLÍTICO LA FUERZA DE LA PAZ</t>
  </si>
  <si>
    <t>ASOAFROFOL E.D.T</t>
  </si>
  <si>
    <t>76895</t>
  </si>
  <si>
    <t>PASION JUVENIL</t>
  </si>
  <si>
    <t>PARTIDO DEMÓCRATA COLOMBIANO</t>
  </si>
  <si>
    <t>MENTES JOVENES</t>
  </si>
  <si>
    <t>PARTIDO ALIANZA VERDE</t>
  </si>
  <si>
    <t>PARTIDO NUEVO LIBERALISMO</t>
  </si>
  <si>
    <t>76130</t>
  </si>
  <si>
    <t>ESCUELA DE LIDERAZGO SI PODEMOS</t>
  </si>
  <si>
    <t>ASODECAC</t>
  </si>
  <si>
    <t>PARTIDO CENTRO DEMOCRÁTICO</t>
  </si>
  <si>
    <t>FUNDACION CENTRO VICTORIA DE COLOMBIA</t>
  </si>
  <si>
    <t>RESISTENCIA CANDELARIA</t>
  </si>
  <si>
    <t>TEEN POWER</t>
  </si>
  <si>
    <t>JAC LA CRUZ</t>
  </si>
  <si>
    <t>JUVENTUD INCLUYENTE Y TRANSFORMADORA</t>
  </si>
  <si>
    <t>CONFIANZA CANDELARIA</t>
  </si>
  <si>
    <t>76131</t>
  </si>
  <si>
    <t>PARTIDO CONSERVADOR COLOMBIANO</t>
  </si>
  <si>
    <t>76132</t>
  </si>
  <si>
    <t>76133</t>
  </si>
  <si>
    <t>PARTIDO POLÍTICO DIGNIDAD &amp; COMPROMISO</t>
  </si>
  <si>
    <t>MOVIMIENTO ALTERNATIVO INDÍGENA Y SOCIAL "MAIS"</t>
  </si>
  <si>
    <t>MOVIMIENTO ALIANZA DEMOCRÁTICA AMPLIA</t>
  </si>
  <si>
    <t>MOVIMIENTO POLÍTICO COLOMBIA HUMANA</t>
  </si>
  <si>
    <t>76622</t>
  </si>
  <si>
    <t>JUNTA DE ACCION COMUNAL - VEREDA EL RINCON</t>
  </si>
  <si>
    <t>ASOC COMUNAL DE JUNTAS DE MPIO DE ROLDANILLO - ASOCOMUNAL</t>
  </si>
  <si>
    <t>PARTIDO ECOLOGISTA COLOMBIANO</t>
  </si>
  <si>
    <t>ORGANIZACION JUNTA DE ACCION COMUNAL VILLAMARINA</t>
  </si>
  <si>
    <t>JUVENTUDES FUNLOM</t>
  </si>
  <si>
    <t>FUNDACION SOCIAL LUIS ORLANDO MINA</t>
  </si>
  <si>
    <t>FUN DISCAP. ELVER U. R. HABILITACIÓN REHABILITACIÓN FUNDEUR</t>
  </si>
  <si>
    <t>76400</t>
  </si>
  <si>
    <t>JUNTA DE ACCION COMUNAL DEL BARRIO BELÉN - HERMITA</t>
  </si>
  <si>
    <t>ASOC. DE FUTUROS AGRICULTORES INST. EDUC QUEBRADA GRANDE</t>
  </si>
  <si>
    <t>VENCIENDO POR LA JUVENTTUD</t>
  </si>
  <si>
    <t>FUNDACION UNIDOS PARA EL DESARROLLO UNIR</t>
  </si>
  <si>
    <t>JUNTA DE ACCION COMUNAL BARRIO EL PARAISO</t>
  </si>
  <si>
    <t>JUNTA DE ACCION COMUNAL DE LA VEREDA EL LUCERO</t>
  </si>
  <si>
    <t>ASO PRODUCTORES AGROPECUARIOS DE LA VEREDA LA ISLA APROISLA</t>
  </si>
  <si>
    <t>76100</t>
  </si>
  <si>
    <t>ASOPANAR-B</t>
  </si>
  <si>
    <t>76823</t>
  </si>
  <si>
    <t>COR DESARROLLO INNOVACION PARA UN FUTURO INTEGRAL CODEINNOVA</t>
  </si>
  <si>
    <t>UNIDOS SOMOS MAS</t>
  </si>
  <si>
    <t>JUVENTUD UNIDA POR OBANDO</t>
  </si>
  <si>
    <t>HAZTE ESCUCHAR</t>
  </si>
  <si>
    <t>FUNDACION + COLOMBIA</t>
  </si>
  <si>
    <t>ALIANZA JUVENIL INDEPENDIENTE "AJI BONAERENSE"</t>
  </si>
  <si>
    <t>CORPORACION JUVENIL PARA EL DESARROLLO COMUNITARIO ORJUDEC</t>
  </si>
  <si>
    <t>FUNDACION TEJIENDO TERRITORIOS DE PAZ - FUTETP</t>
  </si>
  <si>
    <t>DESPIERTA JUVENTUD DE CALDONO</t>
  </si>
  <si>
    <t>RESGUARDO SAN LORENZO DE CALDONO</t>
  </si>
  <si>
    <t>RESGUARDO DE PIOYA</t>
  </si>
  <si>
    <t>JAC GUAICO ARENAL</t>
  </si>
  <si>
    <t>ASOCIACION RED DEPARTAMENTAL DE JOVENES DEL CAUCA - REDEJOCA</t>
  </si>
  <si>
    <t>ASOCIACION CAMPESINA, JUVENIL E INTERCULTURAL-ASOCAMJI</t>
  </si>
  <si>
    <t>19142</t>
  </si>
  <si>
    <t>GENTE EN ACCION</t>
  </si>
  <si>
    <t>ASOCIACION RED DEPARTAMENTAL DE JOVENES DEL CAUCA-REDEJOCA</t>
  </si>
  <si>
    <t>ASOCIACION CAMPESINA JUVENIL INTERCULTURAL ASOCAMJI</t>
  </si>
  <si>
    <t>INCUBANDO FUTURO POR MENTES CREATIVAS</t>
  </si>
  <si>
    <t>19212</t>
  </si>
  <si>
    <t>ASOCIACION RED DEPARTAMENTAL DE JOVENES DEL CAUCA</t>
  </si>
  <si>
    <t>PACTO DEMOCRATICO</t>
  </si>
  <si>
    <t>COLECTIVO AUDIOVISUAL CATARSIS</t>
  </si>
  <si>
    <t>ASOCIACION CAMPESINA, JUVENIL E INTERCULTURAL</t>
  </si>
  <si>
    <t>19300</t>
  </si>
  <si>
    <t>ASOCIACION RED DEPARTAMENTAL DE JOVENES DEL CAUCA (REDEJOCA)</t>
  </si>
  <si>
    <t>ASOCIACION JUNTOS CONSTRUYENDO EL PROGRESO</t>
  </si>
  <si>
    <t>CORPORACION JOVENES EMPRENDEDORES POR UN MEJOR FUTURO</t>
  </si>
  <si>
    <t>CONEXION JOVEN</t>
  </si>
  <si>
    <t>JÓVENES AL FRENTE</t>
  </si>
  <si>
    <t>CABILDO DEL RESGUARDO INDIGENA DE JAMBALO</t>
  </si>
  <si>
    <t>FUTURO JUVENIL</t>
  </si>
  <si>
    <t>LUZ DE ESPERANZA</t>
  </si>
  <si>
    <t>19513</t>
  </si>
  <si>
    <t>CONSEJO COMUNITARIO JUAN JOSE NIETO</t>
  </si>
  <si>
    <t>19573</t>
  </si>
  <si>
    <t>IMPACTO POR COLOMBIA</t>
  </si>
  <si>
    <t>CORPORACION ARTISTICA Y SOCIAL IDEOFORMUS COASI</t>
  </si>
  <si>
    <t>CONSEJO COMUNITARIO CAMPESINO PALENQUE MONTEOSCURO</t>
  </si>
  <si>
    <t>JOVENES HACIA UNA COLOMBIA MAS HUMANA</t>
  </si>
  <si>
    <t>PARTIDO POLÍTICO UNIÓN PATRIÓTICA "UP"</t>
  </si>
  <si>
    <t>ASOCIACION CAMPESINA JUVENIL E INTERCULTURAL ASOCAMJI</t>
  </si>
  <si>
    <t>ESCUADRON SOLIDARIO</t>
  </si>
  <si>
    <t>19698</t>
  </si>
  <si>
    <t>CONSEJO COMUNITARIO ZANJON DE GARRAPATERO</t>
  </si>
  <si>
    <t>ASOCIACIÓN ESCUELA DE PARTICIPACIÓN POLÍTICA ACTIVA</t>
  </si>
  <si>
    <t>VOZ DE LA NEGRITUD</t>
  </si>
  <si>
    <t>JUVENTUD DECIDE</t>
  </si>
  <si>
    <t>JOVENES POR REGIONES</t>
  </si>
  <si>
    <t>PRIMA LA GENTE</t>
  </si>
  <si>
    <t>ASOCAMJI</t>
  </si>
  <si>
    <t>19780</t>
  </si>
  <si>
    <t>FUNDACION REDUBUNTU-SOY PORQUE SOMOS</t>
  </si>
  <si>
    <t>ASOCJ ASOCIACION COORDINACION JUVENIL QUILICHAO</t>
  </si>
  <si>
    <t>REDEJOCA ASOCIACION RED DEPARTAMENTAL DE JOVENES DEL CAUCA</t>
  </si>
  <si>
    <t>ASOCAMJI - ASOCIACION CAMPESINA, JUVENIL E INTERCULTURAL</t>
  </si>
  <si>
    <t>MOVIMIENTO POLÍTICO PODER POPULAR</t>
  </si>
  <si>
    <t>CAMINANDO LA VIDA SEMBR ESPERANZA TEJIENDO FUT JUVENT NASA</t>
  </si>
  <si>
    <t>JUVENTUD EN ACCION</t>
  </si>
  <si>
    <t>DERECHO Y BIENESTAR DE LOS JOVENES</t>
  </si>
  <si>
    <t>19845</t>
  </si>
  <si>
    <t>FUNDACION SOCIOJUVENIL HUELLAS</t>
  </si>
  <si>
    <t>CORPORACION CONCIENCIA ETNICA</t>
  </si>
  <si>
    <t>ASOCIACION CULTURAL CASA DEL NIÑO</t>
  </si>
  <si>
    <t>VOCES LIDERES DEL CAUCA</t>
  </si>
  <si>
    <t>JUVENTUD RURAL CONSTRUYENDO TERRITORIO</t>
  </si>
  <si>
    <t>VILLA RICA JOVEN</t>
  </si>
  <si>
    <t>ASOCAMJI ASOCIACION CAMPESINA JUVENIL INTERCULTURAL</t>
  </si>
  <si>
    <t>FUNDACIÓN REDUBUNTU - SOY PORQUE SOMOS</t>
  </si>
  <si>
    <t>FUNDACION TEJIENDO TERRITORIOS DE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</si>
</sst>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0" borderId="1" xfId="0" applyBorder="1"/>
    <xf numFmtId="1" fontId="0" fillId="0" borderId="1" xfId="0" applyNumberFormat="1" applyBorder="1"/>
    <xf numFmtId="10" fontId="0" fillId="0" borderId="1" xfId="0" applyNumberFormat="1" applyBorder="1"/>
    <xf numFmtId="3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/>
    <xf numFmtId="10" fontId="0" fillId="2" borderId="1" xfId="0" applyNumberFormat="1" applyFill="1" applyBorder="1"/>
    <xf numFmtId="0" fontId="0" fillId="3" borderId="2" xfId="0" applyFill="1" applyBorder="1"/>
    <xf numFmtId="1" fontId="0" fillId="3" borderId="2" xfId="0" applyNumberFormat="1" applyFill="1" applyBorder="1"/>
    <xf numFmtId="2" fontId="0" fillId="3" borderId="2" xfId="0" applyNumberFormat="1" applyFill="1" applyBorder="1"/>
    <xf numFmtId="0" fontId="0" fillId="0" borderId="3" xfId="0" applyBorder="1"/>
    <xf numFmtId="10" fontId="0" fillId="0" borderId="3" xfId="0" applyNumberFormat="1" applyBorder="1"/>
    <xf numFmtId="1" fontId="0" fillId="0" borderId="3" xfId="0" applyNumberFormat="1" applyBorder="1"/>
    <xf numFmtId="0" fontId="0" fillId="3" borderId="4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0" borderId="6" xfId="0" applyBorder="1" applyAlignment="1">
      <alignment horizontal="left"/>
    </xf>
    <xf numFmtId="2" fontId="0" fillId="3" borderId="7" xfId="0" applyNumberFormat="1" applyFill="1" applyBorder="1"/>
    <xf numFmtId="10" fontId="0" fillId="2" borderId="8" xfId="0" applyNumberFormat="1" applyFill="1" applyBorder="1"/>
    <xf numFmtId="10" fontId="0" fillId="0" borderId="8" xfId="0" applyNumberFormat="1" applyBorder="1"/>
    <xf numFmtId="10" fontId="0" fillId="0" borderId="9" xfId="0" applyNumberFormat="1" applyBorder="1"/>
    <xf numFmtId="0" fontId="0" fillId="3" borderId="10" xfId="0" applyFill="1" applyBorder="1"/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1" fillId="5" borderId="4" xfId="0" applyFont="1" applyFill="1" applyBorder="1" applyAlignment="1"/>
    <xf numFmtId="10" fontId="1" fillId="5" borderId="4" xfId="0" applyNumberFormat="1" applyFont="1" applyFill="1" applyBorder="1" applyAlignment="1"/>
    <xf numFmtId="10" fontId="1" fillId="5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4" xfId="0" applyFont="1" applyFill="1" applyBorder="1" applyAlignment="1"/>
    <xf numFmtId="10" fontId="1" fillId="0" borderId="4" xfId="0" applyNumberFormat="1" applyFont="1" applyFill="1" applyBorder="1" applyAlignment="1"/>
    <xf numFmtId="10" fontId="1" fillId="0" borderId="1" xfId="0" applyNumberFormat="1" applyFont="1" applyFill="1" applyBorder="1" applyAlignment="1"/>
  </cellXfs>
  <cellStyles count="1">
    <cellStyle name="Normal" xfId="0" builtinId="0"/>
  </cellStyles>
  <dxfs count="18">
    <dxf>
      <numFmt numFmtId="14" formatCode="0.00%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" formatCode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" formatCode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" formatCode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" formatCode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bottom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rgb="FFDAE9F8"/>
          <bgColor indexed="65"/>
        </patternFill>
      </fill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2" tint="-9.9978637043366805E-2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rgb="FFDAE9F8"/>
          <bgColor indexed="6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A06F94-535B-4926-A7BF-C58E969EB391}" name="CMJ" displayName="CMJ" ref="A1:L189" totalsRowShown="0" headerRowDxfId="16" headerRowBorderDxfId="14" tableBorderDxfId="15" totalsRowBorderDxfId="13">
  <autoFilter ref="A1:L189" xr:uid="{00000000-0001-0000-0000-000000000000}"/>
  <sortState xmlns:xlrd2="http://schemas.microsoft.com/office/spreadsheetml/2017/richdata2" ref="A2:L189">
    <sortCondition sortBy="cellColor" ref="C1" dxfId="12"/>
  </sortState>
  <tableColumns count="12">
    <tableColumn id="12" xr3:uid="{8F8AC59A-602A-4669-A08F-07F2DDAC6C3F}" name="DEPARTAMENTO" dataDxfId="11"/>
    <tableColumn id="1" xr3:uid="{B7FAA098-A829-4144-A057-FEE0E2EFE955}" name="CODIGO MUNICIPIO" dataDxfId="10"/>
    <tableColumn id="2" xr3:uid="{421C61A2-3EC8-4A61-8807-DC4A8B93FCEB}" name="MUNICIPIO" dataDxfId="9"/>
    <tableColumn id="3" xr3:uid="{C2410A8A-D754-412D-B7BE-5C138D353A74}" name="PARTIDO POLÍTICO" dataDxfId="8"/>
    <tableColumn id="4" xr3:uid="{9A472668-1AE3-48BB-A7A5-985CB57CFD1F}" name="NUMERO DE VOTOS" dataDxfId="7"/>
    <tableColumn id="5" xr3:uid="{12C0FF41-C193-472D-9764-A988CC1F1036}" name="VOTANTES" dataDxfId="6"/>
    <tableColumn id="6" xr3:uid="{CABD5A98-4E72-49F4-8700-5F542D267780}" name="VOTOS VALIDOS" dataDxfId="5"/>
    <tableColumn id="7" xr3:uid="{0D72D171-410D-4FE8-BFC9-332E5E4F1652}" name="VOTANTES POTENCIALES" dataDxfId="4"/>
    <tableColumn id="8" xr3:uid="{1CB312AD-A0BB-4E31-AF76-378E64DA0F23}" name="% VOTANTES" dataDxfId="3"/>
    <tableColumn id="9" xr3:uid="{144D7975-712C-43B8-BDCF-3289943A3033}" name="% VOTOS" dataDxfId="2"/>
    <tableColumn id="10" xr3:uid="{D9E3E880-3F1B-4F46-B8D3-D1C1D28F2D90}" name="N° ABSTENCIÓN" dataDxfId="1">
      <calculatedColumnFormula>H2-F2</calculatedColumnFormula>
    </tableColumn>
    <tableColumn id="11" xr3:uid="{17849AAC-3DA6-4D65-A009-0FE47664EDCF}" name="% ABSTENCIÓN" dataDxfId="0">
      <calculatedColumnFormula>K2/H2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E29D-72C7-48D4-A6F5-4A76BD0A6C3F}">
  <dimension ref="A1:I27"/>
  <sheetViews>
    <sheetView tabSelected="1" workbookViewId="0">
      <selection activeCell="C6" sqref="C6"/>
    </sheetView>
  </sheetViews>
  <sheetFormatPr defaultRowHeight="15"/>
  <cols>
    <col min="1" max="1" width="18.42578125" bestFit="1" customWidth="1"/>
    <col min="2" max="2" width="18.42578125" customWidth="1"/>
    <col min="3" max="3" width="24.85546875" bestFit="1" customWidth="1"/>
    <col min="4" max="4" width="12.28515625" bestFit="1" customWidth="1"/>
    <col min="5" max="5" width="15" bestFit="1" customWidth="1"/>
    <col min="6" max="6" width="22.5703125" bestFit="1" customWidth="1"/>
    <col min="7" max="7" width="12" bestFit="1" customWidth="1"/>
    <col min="8" max="8" width="14.85546875" bestFit="1" customWidth="1"/>
    <col min="9" max="9" width="14.42578125" bestFit="1" customWidth="1"/>
  </cols>
  <sheetData>
    <row r="1" spans="1:9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</row>
    <row r="2" spans="1:9">
      <c r="A2" s="30">
        <v>76275</v>
      </c>
      <c r="B2" s="31" t="s">
        <v>9</v>
      </c>
      <c r="C2" s="31" t="s">
        <v>10</v>
      </c>
      <c r="D2" s="31">
        <v>2141</v>
      </c>
      <c r="E2" s="31">
        <v>2106</v>
      </c>
      <c r="F2" s="31">
        <v>16052</v>
      </c>
      <c r="G2" s="32">
        <v>0.13339999999999999</v>
      </c>
      <c r="H2" s="31">
        <v>13911</v>
      </c>
      <c r="I2" s="33">
        <v>0.86660000000000004</v>
      </c>
    </row>
    <row r="3" spans="1:9">
      <c r="A3" s="30">
        <v>76563</v>
      </c>
      <c r="B3" s="31" t="s">
        <v>9</v>
      </c>
      <c r="C3" s="31" t="s">
        <v>11</v>
      </c>
      <c r="D3" s="31">
        <v>2347</v>
      </c>
      <c r="E3" s="31">
        <v>2312</v>
      </c>
      <c r="F3" s="31">
        <v>11351</v>
      </c>
      <c r="G3" s="32">
        <v>0.20669999999999999</v>
      </c>
      <c r="H3" s="31">
        <v>9004</v>
      </c>
      <c r="I3" s="33">
        <v>0.79320000000000002</v>
      </c>
    </row>
    <row r="4" spans="1:9">
      <c r="A4" s="30">
        <v>19455</v>
      </c>
      <c r="B4" s="31" t="s">
        <v>12</v>
      </c>
      <c r="C4" s="31" t="s">
        <v>13</v>
      </c>
      <c r="D4" s="31">
        <v>1139</v>
      </c>
      <c r="E4" s="31">
        <v>1125</v>
      </c>
      <c r="F4" s="31">
        <v>5741</v>
      </c>
      <c r="G4" s="32">
        <v>0.1983</v>
      </c>
      <c r="H4" s="31">
        <v>4602</v>
      </c>
      <c r="I4" s="33">
        <v>0.80159999999999998</v>
      </c>
    </row>
    <row r="5" spans="1:9">
      <c r="A5" s="30">
        <v>76113</v>
      </c>
      <c r="B5" s="31" t="s">
        <v>9</v>
      </c>
      <c r="C5" s="31" t="s">
        <v>14</v>
      </c>
      <c r="D5" s="31">
        <v>698</v>
      </c>
      <c r="E5" s="31">
        <v>687</v>
      </c>
      <c r="F5" s="31">
        <v>4384</v>
      </c>
      <c r="G5" s="32">
        <v>0.15920000000000001</v>
      </c>
      <c r="H5" s="31">
        <v>3686</v>
      </c>
      <c r="I5" s="33">
        <v>0.84079999999999999</v>
      </c>
    </row>
    <row r="6" spans="1:9">
      <c r="A6" s="30">
        <v>76895</v>
      </c>
      <c r="B6" s="31" t="s">
        <v>9</v>
      </c>
      <c r="C6" s="31" t="s">
        <v>15</v>
      </c>
      <c r="D6" s="31">
        <v>1925</v>
      </c>
      <c r="E6" s="31">
        <v>1897</v>
      </c>
      <c r="F6" s="31">
        <v>10247</v>
      </c>
      <c r="G6" s="32">
        <v>0.18779999999999999</v>
      </c>
      <c r="H6" s="31">
        <v>8322</v>
      </c>
      <c r="I6" s="33">
        <v>0.81210000000000004</v>
      </c>
    </row>
    <row r="7" spans="1:9">
      <c r="A7" s="34">
        <v>76130</v>
      </c>
      <c r="B7" s="35" t="s">
        <v>9</v>
      </c>
      <c r="C7" s="35" t="s">
        <v>16</v>
      </c>
      <c r="D7" s="35">
        <v>6118</v>
      </c>
      <c r="E7" s="35">
        <v>6020</v>
      </c>
      <c r="F7" s="35">
        <v>23255</v>
      </c>
      <c r="G7" s="36">
        <v>0.2631</v>
      </c>
      <c r="H7" s="35">
        <v>17137</v>
      </c>
      <c r="I7" s="37">
        <v>0.7369</v>
      </c>
    </row>
    <row r="8" spans="1:9">
      <c r="A8" s="34">
        <v>76131</v>
      </c>
      <c r="B8" s="35" t="s">
        <v>9</v>
      </c>
      <c r="C8" s="35" t="s">
        <v>16</v>
      </c>
      <c r="D8" s="35">
        <v>6118</v>
      </c>
      <c r="E8" s="35">
        <v>6020</v>
      </c>
      <c r="F8" s="35">
        <v>23255</v>
      </c>
      <c r="G8" s="36">
        <v>0.2631</v>
      </c>
      <c r="H8" s="35">
        <v>17137</v>
      </c>
      <c r="I8" s="37">
        <v>0.7369</v>
      </c>
    </row>
    <row r="9" spans="1:9">
      <c r="A9" s="34">
        <v>76132</v>
      </c>
      <c r="B9" s="35" t="s">
        <v>9</v>
      </c>
      <c r="C9" s="35" t="s">
        <v>16</v>
      </c>
      <c r="D9" s="35">
        <v>6118</v>
      </c>
      <c r="E9" s="35">
        <v>6020</v>
      </c>
      <c r="F9" s="35">
        <v>23255</v>
      </c>
      <c r="G9" s="36">
        <v>0.2631</v>
      </c>
      <c r="H9" s="35">
        <v>17137</v>
      </c>
      <c r="I9" s="37">
        <v>0.7369</v>
      </c>
    </row>
    <row r="10" spans="1:9">
      <c r="A10" s="34">
        <v>76133</v>
      </c>
      <c r="B10" s="35" t="s">
        <v>9</v>
      </c>
      <c r="C10" s="35" t="s">
        <v>16</v>
      </c>
      <c r="D10" s="35">
        <v>6118</v>
      </c>
      <c r="E10" s="35">
        <v>6020</v>
      </c>
      <c r="F10" s="35">
        <v>23255</v>
      </c>
      <c r="G10" s="36">
        <v>0.2631</v>
      </c>
      <c r="H10" s="35">
        <v>17137</v>
      </c>
      <c r="I10" s="37">
        <v>0.7369</v>
      </c>
    </row>
    <row r="11" spans="1:9">
      <c r="A11" s="34">
        <v>76622</v>
      </c>
      <c r="B11" s="35" t="s">
        <v>9</v>
      </c>
      <c r="C11" s="35" t="s">
        <v>17</v>
      </c>
      <c r="D11" s="35">
        <v>780</v>
      </c>
      <c r="E11" s="35">
        <v>755</v>
      </c>
      <c r="F11" s="35">
        <v>7643</v>
      </c>
      <c r="G11" s="36">
        <v>0.10199999999999999</v>
      </c>
      <c r="H11" s="35">
        <v>6863</v>
      </c>
      <c r="I11" s="37">
        <v>0.89790000000000003</v>
      </c>
    </row>
    <row r="12" spans="1:9">
      <c r="A12" s="34">
        <v>76400</v>
      </c>
      <c r="B12" s="35" t="s">
        <v>9</v>
      </c>
      <c r="C12" s="35" t="s">
        <v>18</v>
      </c>
      <c r="D12" s="35">
        <v>1335</v>
      </c>
      <c r="E12" s="35">
        <v>1110</v>
      </c>
      <c r="F12" s="35">
        <v>7425</v>
      </c>
      <c r="G12" s="36">
        <v>0.1797</v>
      </c>
      <c r="H12" s="35">
        <v>6090</v>
      </c>
      <c r="I12" s="37">
        <v>0.82020000000000004</v>
      </c>
    </row>
    <row r="13" spans="1:9">
      <c r="A13" s="34">
        <v>76100</v>
      </c>
      <c r="B13" s="35" t="s">
        <v>9</v>
      </c>
      <c r="C13" s="35" t="s">
        <v>19</v>
      </c>
      <c r="D13" s="35">
        <v>639</v>
      </c>
      <c r="E13" s="35">
        <v>629</v>
      </c>
      <c r="F13" s="35">
        <v>2839</v>
      </c>
      <c r="G13" s="36">
        <v>0.22500000000000001</v>
      </c>
      <c r="H13" s="35">
        <v>2200</v>
      </c>
      <c r="I13" s="37">
        <v>0.77490000000000003</v>
      </c>
    </row>
    <row r="14" spans="1:9">
      <c r="A14" s="34">
        <v>76823</v>
      </c>
      <c r="B14" s="35" t="s">
        <v>9</v>
      </c>
      <c r="C14" s="35" t="s">
        <v>20</v>
      </c>
      <c r="D14" s="35">
        <v>258</v>
      </c>
      <c r="E14" s="35">
        <v>253</v>
      </c>
      <c r="F14" s="35">
        <v>3083</v>
      </c>
      <c r="G14" s="36">
        <v>8.3599999999999994E-2</v>
      </c>
      <c r="H14" s="35">
        <v>2825</v>
      </c>
      <c r="I14" s="37">
        <v>0.9163</v>
      </c>
    </row>
    <row r="15" spans="1:9">
      <c r="A15" s="34">
        <v>76497</v>
      </c>
      <c r="B15" s="35" t="s">
        <v>9</v>
      </c>
      <c r="C15" s="35" t="s">
        <v>21</v>
      </c>
      <c r="D15" s="35">
        <v>277</v>
      </c>
      <c r="E15" s="35">
        <v>274</v>
      </c>
      <c r="F15" s="35">
        <v>2317</v>
      </c>
      <c r="G15" s="36">
        <v>0.1195</v>
      </c>
      <c r="H15" s="35">
        <v>2040</v>
      </c>
      <c r="I15" s="37">
        <v>0.88039999999999996</v>
      </c>
    </row>
    <row r="16" spans="1:9">
      <c r="A16" s="34">
        <v>19110</v>
      </c>
      <c r="B16" s="35" t="s">
        <v>12</v>
      </c>
      <c r="C16" s="35" t="s">
        <v>22</v>
      </c>
      <c r="D16" s="35">
        <v>550</v>
      </c>
      <c r="E16" s="35">
        <v>533</v>
      </c>
      <c r="F16" s="35">
        <v>5174</v>
      </c>
      <c r="G16" s="36">
        <v>0.10630000000000001</v>
      </c>
      <c r="H16" s="35">
        <v>4624</v>
      </c>
      <c r="I16" s="37">
        <v>0.89370000000000005</v>
      </c>
    </row>
    <row r="17" spans="1:9">
      <c r="A17" s="34">
        <v>19137</v>
      </c>
      <c r="B17" s="35" t="s">
        <v>12</v>
      </c>
      <c r="C17" s="35" t="s">
        <v>23</v>
      </c>
      <c r="D17" s="35">
        <v>754</v>
      </c>
      <c r="E17" s="35">
        <v>730</v>
      </c>
      <c r="F17" s="35">
        <v>9678</v>
      </c>
      <c r="G17" s="36">
        <v>7.7899999999999997E-2</v>
      </c>
      <c r="H17" s="35">
        <v>8924</v>
      </c>
      <c r="I17" s="37">
        <v>0.92210000000000003</v>
      </c>
    </row>
    <row r="18" spans="1:9">
      <c r="A18" s="34">
        <v>19142</v>
      </c>
      <c r="B18" s="35" t="s">
        <v>12</v>
      </c>
      <c r="C18" s="35" t="s">
        <v>24</v>
      </c>
      <c r="D18" s="35">
        <v>1092</v>
      </c>
      <c r="E18" s="35">
        <v>1061</v>
      </c>
      <c r="F18" s="35">
        <v>6845</v>
      </c>
      <c r="G18" s="36">
        <v>0.1595</v>
      </c>
      <c r="H18" s="35">
        <v>5753</v>
      </c>
      <c r="I18" s="37">
        <v>0.84050000000000002</v>
      </c>
    </row>
    <row r="19" spans="1:9">
      <c r="A19" s="34">
        <v>19212</v>
      </c>
      <c r="B19" s="35" t="s">
        <v>12</v>
      </c>
      <c r="C19" s="35" t="s">
        <v>25</v>
      </c>
      <c r="D19" s="35">
        <v>655</v>
      </c>
      <c r="E19" s="35">
        <v>647</v>
      </c>
      <c r="F19" s="35">
        <v>5394</v>
      </c>
      <c r="G19" s="36">
        <v>0.12139999999999999</v>
      </c>
      <c r="H19" s="35">
        <v>4739</v>
      </c>
      <c r="I19" s="37">
        <v>0.87860000000000005</v>
      </c>
    </row>
    <row r="20" spans="1:9">
      <c r="A20" s="34">
        <v>19300</v>
      </c>
      <c r="B20" s="35" t="s">
        <v>12</v>
      </c>
      <c r="C20" s="35" t="s">
        <v>26</v>
      </c>
      <c r="D20" s="35">
        <v>1010</v>
      </c>
      <c r="E20" s="35">
        <v>996</v>
      </c>
      <c r="F20" s="35">
        <v>4114</v>
      </c>
      <c r="G20" s="36">
        <v>0.2455</v>
      </c>
      <c r="H20" s="35">
        <v>3104</v>
      </c>
      <c r="I20" s="37">
        <v>0.75449999999999995</v>
      </c>
    </row>
    <row r="21" spans="1:9">
      <c r="A21" s="34">
        <v>19364</v>
      </c>
      <c r="B21" s="35" t="s">
        <v>12</v>
      </c>
      <c r="C21" s="35" t="s">
        <v>27</v>
      </c>
      <c r="D21" s="35">
        <v>454</v>
      </c>
      <c r="E21" s="35">
        <v>448</v>
      </c>
      <c r="F21" s="35">
        <v>3635</v>
      </c>
      <c r="G21" s="36">
        <v>0.12479999999999999</v>
      </c>
      <c r="H21" s="35">
        <v>3181</v>
      </c>
      <c r="I21" s="37">
        <v>0.87509999999999999</v>
      </c>
    </row>
    <row r="22" spans="1:9">
      <c r="A22" s="34">
        <v>19513</v>
      </c>
      <c r="B22" s="35" t="s">
        <v>12</v>
      </c>
      <c r="C22" s="35" t="s">
        <v>28</v>
      </c>
      <c r="D22" s="35">
        <v>220</v>
      </c>
      <c r="E22" s="35">
        <v>210</v>
      </c>
      <c r="F22" s="35">
        <v>2096</v>
      </c>
      <c r="G22" s="36">
        <v>0.10489999999999999</v>
      </c>
      <c r="H22" s="35">
        <v>1876</v>
      </c>
      <c r="I22" s="37">
        <v>0.89500000000000002</v>
      </c>
    </row>
    <row r="23" spans="1:9">
      <c r="A23" s="34">
        <v>19573</v>
      </c>
      <c r="B23" s="35" t="s">
        <v>12</v>
      </c>
      <c r="C23" s="35" t="s">
        <v>29</v>
      </c>
      <c r="D23" s="35">
        <v>1530</v>
      </c>
      <c r="E23" s="35">
        <v>1516</v>
      </c>
      <c r="F23" s="35">
        <v>9273</v>
      </c>
      <c r="G23" s="36">
        <v>0.16489999999999999</v>
      </c>
      <c r="H23" s="35">
        <v>7743</v>
      </c>
      <c r="I23" s="37">
        <v>0.83499999999999996</v>
      </c>
    </row>
    <row r="24" spans="1:9">
      <c r="A24" s="34">
        <v>19698</v>
      </c>
      <c r="B24" s="35" t="s">
        <v>12</v>
      </c>
      <c r="C24" s="35" t="s">
        <v>30</v>
      </c>
      <c r="D24" s="35">
        <v>3468</v>
      </c>
      <c r="E24" s="35">
        <v>3374</v>
      </c>
      <c r="F24" s="35">
        <v>29651</v>
      </c>
      <c r="G24" s="36">
        <v>0.1169</v>
      </c>
      <c r="H24" s="35">
        <v>26183</v>
      </c>
      <c r="I24" s="37">
        <v>0.88300000000000001</v>
      </c>
    </row>
    <row r="25" spans="1:9">
      <c r="A25" s="34">
        <v>19780</v>
      </c>
      <c r="B25" s="35" t="s">
        <v>12</v>
      </c>
      <c r="C25" s="35" t="s">
        <v>31</v>
      </c>
      <c r="D25" s="35">
        <v>493</v>
      </c>
      <c r="E25" s="35">
        <v>474</v>
      </c>
      <c r="F25" s="35">
        <v>5923</v>
      </c>
      <c r="G25" s="36">
        <v>8.3199999999999996E-2</v>
      </c>
      <c r="H25" s="35">
        <v>5430</v>
      </c>
      <c r="I25" s="37">
        <v>0.91679999999999995</v>
      </c>
    </row>
    <row r="26" spans="1:9">
      <c r="A26" s="34">
        <v>19821</v>
      </c>
      <c r="B26" s="35" t="s">
        <v>12</v>
      </c>
      <c r="C26" s="35" t="s">
        <v>32</v>
      </c>
      <c r="D26" s="35">
        <v>692</v>
      </c>
      <c r="E26" s="35">
        <v>675</v>
      </c>
      <c r="F26" s="35">
        <v>7831</v>
      </c>
      <c r="G26" s="36">
        <v>8.8300000000000003E-2</v>
      </c>
      <c r="H26" s="35">
        <v>7139</v>
      </c>
      <c r="I26" s="37">
        <v>0.91159999999999997</v>
      </c>
    </row>
    <row r="27" spans="1:9">
      <c r="A27" s="34">
        <v>19845</v>
      </c>
      <c r="B27" s="35" t="s">
        <v>12</v>
      </c>
      <c r="C27" s="34" t="s">
        <v>33</v>
      </c>
      <c r="D27" s="34">
        <v>995</v>
      </c>
      <c r="E27" s="34">
        <v>978</v>
      </c>
      <c r="F27" s="34">
        <v>5044</v>
      </c>
      <c r="G27" s="37">
        <v>0.19719999999999999</v>
      </c>
      <c r="H27" s="34">
        <v>4049</v>
      </c>
      <c r="I27" s="37">
        <v>0.80269999999999997</v>
      </c>
    </row>
  </sheetData>
  <autoFilter ref="A1:I27" xr:uid="{F066E29D-72C7-48D4-A6F5-4A76BD0A6C3F}">
    <sortState xmlns:xlrd2="http://schemas.microsoft.com/office/spreadsheetml/2017/richdata2" ref="A2:I27">
      <sortCondition sortBy="cellColor" ref="A1" dxfId="1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0"/>
  <sheetViews>
    <sheetView topLeftCell="A21" workbookViewId="0">
      <selection activeCell="B21" sqref="B21"/>
    </sheetView>
  </sheetViews>
  <sheetFormatPr defaultRowHeight="15"/>
  <cols>
    <col min="1" max="1" width="17.5703125" bestFit="1" customWidth="1"/>
    <col min="2" max="2" width="21" style="5" bestFit="1" customWidth="1"/>
    <col min="3" max="3" width="24.85546875" bestFit="1" customWidth="1"/>
    <col min="4" max="4" width="66.5703125" bestFit="1" customWidth="1"/>
    <col min="5" max="5" width="20.5703125" bestFit="1" customWidth="1"/>
    <col min="6" max="6" width="12.42578125" style="3" customWidth="1"/>
    <col min="7" max="7" width="17.42578125" style="3" bestFit="1" customWidth="1"/>
    <col min="8" max="8" width="25.28515625" style="3" bestFit="1" customWidth="1"/>
    <col min="9" max="9" width="14.42578125" style="1" customWidth="1"/>
    <col min="10" max="10" width="12" style="4" bestFit="1" customWidth="1"/>
    <col min="11" max="11" width="17.42578125" bestFit="1" customWidth="1"/>
    <col min="12" max="12" width="16.85546875" style="2" bestFit="1" customWidth="1"/>
  </cols>
  <sheetData>
    <row r="1" spans="1:12">
      <c r="A1" s="28" t="s">
        <v>1</v>
      </c>
      <c r="B1" s="20" t="s">
        <v>0</v>
      </c>
      <c r="C1" s="14" t="s">
        <v>2</v>
      </c>
      <c r="D1" s="14" t="s">
        <v>34</v>
      </c>
      <c r="E1" s="14" t="s">
        <v>35</v>
      </c>
      <c r="F1" s="15" t="s">
        <v>3</v>
      </c>
      <c r="G1" s="15" t="s">
        <v>4</v>
      </c>
      <c r="H1" s="15" t="s">
        <v>5</v>
      </c>
      <c r="I1" s="15" t="s">
        <v>6</v>
      </c>
      <c r="J1" s="16" t="s">
        <v>36</v>
      </c>
      <c r="K1" s="14" t="s">
        <v>7</v>
      </c>
      <c r="L1" s="24" t="s">
        <v>8</v>
      </c>
    </row>
    <row r="2" spans="1:12">
      <c r="A2" s="7" t="s">
        <v>9</v>
      </c>
      <c r="B2" s="22" t="s">
        <v>37</v>
      </c>
      <c r="C2" s="11" t="s">
        <v>10</v>
      </c>
      <c r="D2" s="11" t="s">
        <v>38</v>
      </c>
      <c r="E2" s="11">
        <v>346</v>
      </c>
      <c r="F2" s="12">
        <v>2141</v>
      </c>
      <c r="G2" s="12">
        <v>2106</v>
      </c>
      <c r="H2" s="12">
        <v>16052</v>
      </c>
      <c r="I2" s="13">
        <f>F2/H2</f>
        <v>0.13337901819087963</v>
      </c>
      <c r="J2" s="13">
        <v>0.16420000000000001</v>
      </c>
      <c r="K2" s="12">
        <f>H2-F2</f>
        <v>13911</v>
      </c>
      <c r="L2" s="25">
        <f>K2/H2</f>
        <v>0.86662098180912039</v>
      </c>
    </row>
    <row r="3" spans="1:12">
      <c r="A3" s="7" t="s">
        <v>9</v>
      </c>
      <c r="B3" s="22" t="s">
        <v>37</v>
      </c>
      <c r="C3" s="11" t="s">
        <v>10</v>
      </c>
      <c r="D3" s="11" t="s">
        <v>39</v>
      </c>
      <c r="E3" s="11">
        <v>300</v>
      </c>
      <c r="F3" s="12">
        <v>2141</v>
      </c>
      <c r="G3" s="12">
        <v>2106</v>
      </c>
      <c r="H3" s="12">
        <v>16052</v>
      </c>
      <c r="I3" s="13">
        <f>F3/H3</f>
        <v>0.13337901819087963</v>
      </c>
      <c r="J3" s="13">
        <v>0.1424</v>
      </c>
      <c r="K3" s="12">
        <f>H3-F3</f>
        <v>13911</v>
      </c>
      <c r="L3" s="25">
        <f>K3/H3</f>
        <v>0.86662098180912039</v>
      </c>
    </row>
    <row r="4" spans="1:12">
      <c r="A4" s="7" t="s">
        <v>9</v>
      </c>
      <c r="B4" s="22" t="s">
        <v>37</v>
      </c>
      <c r="C4" s="11" t="s">
        <v>10</v>
      </c>
      <c r="D4" s="11" t="s">
        <v>40</v>
      </c>
      <c r="E4" s="11">
        <v>284</v>
      </c>
      <c r="F4" s="12">
        <v>2141</v>
      </c>
      <c r="G4" s="12">
        <v>2106</v>
      </c>
      <c r="H4" s="12">
        <v>16052</v>
      </c>
      <c r="I4" s="13">
        <f>F4/H4</f>
        <v>0.13337901819087963</v>
      </c>
      <c r="J4" s="13">
        <v>0.1348</v>
      </c>
      <c r="K4" s="12">
        <f>H4-F4</f>
        <v>13911</v>
      </c>
      <c r="L4" s="25">
        <f>K4/H4</f>
        <v>0.86662098180912039</v>
      </c>
    </row>
    <row r="5" spans="1:12">
      <c r="A5" s="7" t="s">
        <v>9</v>
      </c>
      <c r="B5" s="22" t="s">
        <v>37</v>
      </c>
      <c r="C5" s="11" t="s">
        <v>10</v>
      </c>
      <c r="D5" s="11" t="s">
        <v>41</v>
      </c>
      <c r="E5" s="11">
        <v>236</v>
      </c>
      <c r="F5" s="12">
        <v>2141</v>
      </c>
      <c r="G5" s="12">
        <v>2106</v>
      </c>
      <c r="H5" s="12">
        <v>16052</v>
      </c>
      <c r="I5" s="13">
        <f>F5/H5</f>
        <v>0.13337901819087963</v>
      </c>
      <c r="J5" s="13">
        <v>0.112</v>
      </c>
      <c r="K5" s="12">
        <f>H5-F5</f>
        <v>13911</v>
      </c>
      <c r="L5" s="25">
        <f>K5/H5</f>
        <v>0.86662098180912039</v>
      </c>
    </row>
    <row r="6" spans="1:12">
      <c r="A6" s="7" t="s">
        <v>9</v>
      </c>
      <c r="B6" s="22" t="s">
        <v>37</v>
      </c>
      <c r="C6" s="11" t="s">
        <v>10</v>
      </c>
      <c r="D6" s="11" t="s">
        <v>42</v>
      </c>
      <c r="E6" s="11">
        <v>183</v>
      </c>
      <c r="F6" s="12">
        <v>2141</v>
      </c>
      <c r="G6" s="12">
        <v>2106</v>
      </c>
      <c r="H6" s="12">
        <v>16052</v>
      </c>
      <c r="I6" s="13">
        <f>F6/H6</f>
        <v>0.13337901819087963</v>
      </c>
      <c r="J6" s="13">
        <v>8.6800000000000002E-2</v>
      </c>
      <c r="K6" s="12">
        <f>H6-F6</f>
        <v>13911</v>
      </c>
      <c r="L6" s="25">
        <f>K6/H6</f>
        <v>0.86662098180912039</v>
      </c>
    </row>
    <row r="7" spans="1:12">
      <c r="A7" s="7" t="s">
        <v>9</v>
      </c>
      <c r="B7" s="22" t="s">
        <v>37</v>
      </c>
      <c r="C7" s="11" t="s">
        <v>10</v>
      </c>
      <c r="D7" s="11" t="s">
        <v>43</v>
      </c>
      <c r="E7" s="11">
        <v>162</v>
      </c>
      <c r="F7" s="12">
        <v>2141</v>
      </c>
      <c r="G7" s="12">
        <v>2106</v>
      </c>
      <c r="H7" s="12">
        <v>16052</v>
      </c>
      <c r="I7" s="13">
        <f>F7/H7</f>
        <v>0.13337901819087963</v>
      </c>
      <c r="J7" s="13">
        <v>7.6899999999999996E-2</v>
      </c>
      <c r="K7" s="12">
        <f>H7-F7</f>
        <v>13911</v>
      </c>
      <c r="L7" s="25">
        <f>K7/H7</f>
        <v>0.86662098180912039</v>
      </c>
    </row>
    <row r="8" spans="1:12">
      <c r="A8" s="7" t="s">
        <v>9</v>
      </c>
      <c r="B8" s="22" t="s">
        <v>37</v>
      </c>
      <c r="C8" s="11" t="s">
        <v>10</v>
      </c>
      <c r="D8" s="11" t="s">
        <v>44</v>
      </c>
      <c r="E8" s="11">
        <v>120</v>
      </c>
      <c r="F8" s="12">
        <v>2141</v>
      </c>
      <c r="G8" s="12">
        <v>2106</v>
      </c>
      <c r="H8" s="12">
        <v>16052</v>
      </c>
      <c r="I8" s="13">
        <f>F8/H8</f>
        <v>0.13337901819087963</v>
      </c>
      <c r="J8" s="13">
        <v>5.6899999999999999E-2</v>
      </c>
      <c r="K8" s="12">
        <f>H8-F8</f>
        <v>13911</v>
      </c>
      <c r="L8" s="25">
        <f>K8/H8</f>
        <v>0.86662098180912039</v>
      </c>
    </row>
    <row r="9" spans="1:12">
      <c r="A9" s="7" t="s">
        <v>9</v>
      </c>
      <c r="B9" s="22" t="s">
        <v>45</v>
      </c>
      <c r="C9" s="11" t="s">
        <v>11</v>
      </c>
      <c r="D9" s="11" t="s">
        <v>46</v>
      </c>
      <c r="E9" s="11">
        <v>426</v>
      </c>
      <c r="F9" s="12">
        <v>2347</v>
      </c>
      <c r="G9" s="12">
        <v>2312</v>
      </c>
      <c r="H9" s="12">
        <v>11351</v>
      </c>
      <c r="I9" s="13">
        <v>0.20669999999999999</v>
      </c>
      <c r="J9" s="13">
        <v>0.1842</v>
      </c>
      <c r="K9" s="12">
        <f>H9-F9</f>
        <v>9004</v>
      </c>
      <c r="L9" s="25">
        <f>K9/H9</f>
        <v>0.7932340762928376</v>
      </c>
    </row>
    <row r="10" spans="1:12">
      <c r="A10" s="7" t="s">
        <v>9</v>
      </c>
      <c r="B10" s="22" t="s">
        <v>45</v>
      </c>
      <c r="C10" s="11" t="s">
        <v>11</v>
      </c>
      <c r="D10" s="11" t="s">
        <v>42</v>
      </c>
      <c r="E10" s="11">
        <v>362</v>
      </c>
      <c r="F10" s="12">
        <v>2347</v>
      </c>
      <c r="G10" s="12">
        <v>2312</v>
      </c>
      <c r="H10" s="12">
        <v>11351</v>
      </c>
      <c r="I10" s="13">
        <v>0.20669999999999999</v>
      </c>
      <c r="J10" s="13">
        <v>0.1565</v>
      </c>
      <c r="K10" s="12">
        <f>H10-F10</f>
        <v>9004</v>
      </c>
      <c r="L10" s="25">
        <f>K10/H10</f>
        <v>0.7932340762928376</v>
      </c>
    </row>
    <row r="11" spans="1:12">
      <c r="A11" s="7" t="s">
        <v>9</v>
      </c>
      <c r="B11" s="22" t="s">
        <v>45</v>
      </c>
      <c r="C11" s="11" t="s">
        <v>11</v>
      </c>
      <c r="D11" s="11" t="s">
        <v>39</v>
      </c>
      <c r="E11" s="11">
        <v>274</v>
      </c>
      <c r="F11" s="12">
        <v>2347</v>
      </c>
      <c r="G11" s="12">
        <v>2312</v>
      </c>
      <c r="H11" s="12">
        <v>11351</v>
      </c>
      <c r="I11" s="13">
        <v>0.20669999999999999</v>
      </c>
      <c r="J11" s="13">
        <v>0.11849999999999999</v>
      </c>
      <c r="K11" s="12">
        <f>H11-F11</f>
        <v>9004</v>
      </c>
      <c r="L11" s="25">
        <f>K11/H11</f>
        <v>0.7932340762928376</v>
      </c>
    </row>
    <row r="12" spans="1:12">
      <c r="A12" s="7" t="s">
        <v>9</v>
      </c>
      <c r="B12" s="22" t="s">
        <v>45</v>
      </c>
      <c r="C12" s="11" t="s">
        <v>11</v>
      </c>
      <c r="D12" s="11" t="s">
        <v>47</v>
      </c>
      <c r="E12" s="11">
        <v>209</v>
      </c>
      <c r="F12" s="12">
        <v>2347</v>
      </c>
      <c r="G12" s="12">
        <v>2312</v>
      </c>
      <c r="H12" s="12">
        <v>11351</v>
      </c>
      <c r="I12" s="13">
        <v>0.20669999999999999</v>
      </c>
      <c r="J12" s="13">
        <v>9.0300000000000005E-2</v>
      </c>
      <c r="K12" s="12">
        <f>H12-F12</f>
        <v>9004</v>
      </c>
      <c r="L12" s="25">
        <f>K12/H12</f>
        <v>0.7932340762928376</v>
      </c>
    </row>
    <row r="13" spans="1:12">
      <c r="A13" s="7" t="s">
        <v>9</v>
      </c>
      <c r="B13" s="22" t="s">
        <v>45</v>
      </c>
      <c r="C13" s="11" t="s">
        <v>11</v>
      </c>
      <c r="D13" s="11" t="s">
        <v>48</v>
      </c>
      <c r="E13" s="11">
        <v>208</v>
      </c>
      <c r="F13" s="12">
        <v>2347</v>
      </c>
      <c r="G13" s="12">
        <v>2312</v>
      </c>
      <c r="H13" s="12">
        <v>11351</v>
      </c>
      <c r="I13" s="13">
        <v>0.20669999999999999</v>
      </c>
      <c r="J13" s="13">
        <v>8.9899999999999994E-2</v>
      </c>
      <c r="K13" s="12">
        <f>H13-F13</f>
        <v>9004</v>
      </c>
      <c r="L13" s="25">
        <f>K13/H13</f>
        <v>0.7932340762928376</v>
      </c>
    </row>
    <row r="14" spans="1:12">
      <c r="A14" s="7" t="s">
        <v>9</v>
      </c>
      <c r="B14" s="22" t="s">
        <v>45</v>
      </c>
      <c r="C14" s="11" t="s">
        <v>11</v>
      </c>
      <c r="D14" s="11" t="s">
        <v>49</v>
      </c>
      <c r="E14" s="11">
        <v>191</v>
      </c>
      <c r="F14" s="12">
        <v>2347</v>
      </c>
      <c r="G14" s="12">
        <v>2312</v>
      </c>
      <c r="H14" s="12">
        <v>11351</v>
      </c>
      <c r="I14" s="13">
        <v>0.20669999999999999</v>
      </c>
      <c r="J14" s="13">
        <v>8.2600000000000007E-2</v>
      </c>
      <c r="K14" s="12">
        <f>H14-F14</f>
        <v>9004</v>
      </c>
      <c r="L14" s="25">
        <f>K14/H14</f>
        <v>0.7932340762928376</v>
      </c>
    </row>
    <row r="15" spans="1:12">
      <c r="A15" s="7" t="s">
        <v>9</v>
      </c>
      <c r="B15" s="22" t="s">
        <v>45</v>
      </c>
      <c r="C15" s="11" t="s">
        <v>11</v>
      </c>
      <c r="D15" s="11" t="s">
        <v>50</v>
      </c>
      <c r="E15" s="11">
        <v>101</v>
      </c>
      <c r="F15" s="12">
        <v>2347</v>
      </c>
      <c r="G15" s="12">
        <v>2312</v>
      </c>
      <c r="H15" s="12">
        <v>11351</v>
      </c>
      <c r="I15" s="13">
        <v>0.20669999999999999</v>
      </c>
      <c r="J15" s="13">
        <v>4.36E-2</v>
      </c>
      <c r="K15" s="12">
        <f>H15-F15</f>
        <v>9004</v>
      </c>
      <c r="L15" s="25">
        <f>K15/H15</f>
        <v>0.7932340762928376</v>
      </c>
    </row>
    <row r="16" spans="1:12">
      <c r="A16" s="7" t="s">
        <v>12</v>
      </c>
      <c r="B16" s="22" t="s">
        <v>51</v>
      </c>
      <c r="C16" s="11" t="s">
        <v>13</v>
      </c>
      <c r="D16" s="13" t="s">
        <v>52</v>
      </c>
      <c r="E16" s="11">
        <v>438</v>
      </c>
      <c r="F16" s="12">
        <v>1139</v>
      </c>
      <c r="G16" s="12">
        <v>1125</v>
      </c>
      <c r="H16" s="12">
        <v>5741</v>
      </c>
      <c r="I16" s="13">
        <v>0.1983</v>
      </c>
      <c r="J16" s="13">
        <v>0.38929999999999998</v>
      </c>
      <c r="K16" s="12">
        <f>H16-F16</f>
        <v>4602</v>
      </c>
      <c r="L16" s="25">
        <f>K16/H16</f>
        <v>0.80160250827381985</v>
      </c>
    </row>
    <row r="17" spans="1:12">
      <c r="A17" s="7" t="s">
        <v>12</v>
      </c>
      <c r="B17" s="22" t="s">
        <v>51</v>
      </c>
      <c r="C17" s="11" t="s">
        <v>13</v>
      </c>
      <c r="D17" s="13" t="s">
        <v>53</v>
      </c>
      <c r="E17" s="11">
        <v>243</v>
      </c>
      <c r="F17" s="12">
        <v>1139</v>
      </c>
      <c r="G17" s="12">
        <v>1125</v>
      </c>
      <c r="H17" s="12">
        <v>5741</v>
      </c>
      <c r="I17" s="13">
        <v>0.1983</v>
      </c>
      <c r="J17" s="13">
        <v>0.216</v>
      </c>
      <c r="K17" s="12">
        <f>H17-F17</f>
        <v>4602</v>
      </c>
      <c r="L17" s="25">
        <f>K17/H17</f>
        <v>0.80160250827381985</v>
      </c>
    </row>
    <row r="18" spans="1:12">
      <c r="A18" s="7" t="s">
        <v>12</v>
      </c>
      <c r="B18" s="22" t="s">
        <v>51</v>
      </c>
      <c r="C18" s="11" t="s">
        <v>13</v>
      </c>
      <c r="D18" s="13" t="s">
        <v>54</v>
      </c>
      <c r="E18" s="11">
        <v>151</v>
      </c>
      <c r="F18" s="12">
        <v>1139</v>
      </c>
      <c r="G18" s="12">
        <v>1125</v>
      </c>
      <c r="H18" s="12">
        <v>5741</v>
      </c>
      <c r="I18" s="13">
        <v>0.1983</v>
      </c>
      <c r="J18" s="13">
        <v>0.13420000000000001</v>
      </c>
      <c r="K18" s="12">
        <f>H18-F18</f>
        <v>4602</v>
      </c>
      <c r="L18" s="25">
        <f>K18/H18</f>
        <v>0.80160250827381985</v>
      </c>
    </row>
    <row r="19" spans="1:12">
      <c r="A19" s="7" t="s">
        <v>12</v>
      </c>
      <c r="B19" s="22" t="s">
        <v>51</v>
      </c>
      <c r="C19" s="11" t="s">
        <v>13</v>
      </c>
      <c r="D19" s="13" t="s">
        <v>55</v>
      </c>
      <c r="E19" s="11">
        <v>120</v>
      </c>
      <c r="F19" s="12">
        <v>1139</v>
      </c>
      <c r="G19" s="12">
        <v>1125</v>
      </c>
      <c r="H19" s="12">
        <v>5741</v>
      </c>
      <c r="I19" s="13">
        <v>0.1983</v>
      </c>
      <c r="J19" s="13">
        <v>0.1066</v>
      </c>
      <c r="K19" s="12">
        <f>H19-F19</f>
        <v>4602</v>
      </c>
      <c r="L19" s="25">
        <f>K19/H19</f>
        <v>0.80160250827381985</v>
      </c>
    </row>
    <row r="20" spans="1:12">
      <c r="A20" s="7" t="s">
        <v>12</v>
      </c>
      <c r="B20" s="22" t="s">
        <v>51</v>
      </c>
      <c r="C20" s="11" t="s">
        <v>13</v>
      </c>
      <c r="D20" s="13" t="s">
        <v>56</v>
      </c>
      <c r="E20" s="11">
        <v>33</v>
      </c>
      <c r="F20" s="12">
        <v>1139</v>
      </c>
      <c r="G20" s="12">
        <v>1125</v>
      </c>
      <c r="H20" s="12">
        <v>5741</v>
      </c>
      <c r="I20" s="13">
        <v>0.1983</v>
      </c>
      <c r="J20" s="13">
        <v>2.93E-2</v>
      </c>
      <c r="K20" s="12">
        <f>H20-F20</f>
        <v>4602</v>
      </c>
      <c r="L20" s="25">
        <f>K20/H20</f>
        <v>0.80160250827381985</v>
      </c>
    </row>
    <row r="21" spans="1:12">
      <c r="A21" s="7" t="s">
        <v>9</v>
      </c>
      <c r="B21" s="22" t="s">
        <v>57</v>
      </c>
      <c r="C21" s="11" t="s">
        <v>14</v>
      </c>
      <c r="D21" s="11" t="s">
        <v>42</v>
      </c>
      <c r="E21" s="11">
        <v>253</v>
      </c>
      <c r="F21" s="12">
        <v>698</v>
      </c>
      <c r="G21" s="12">
        <v>687</v>
      </c>
      <c r="H21" s="12">
        <v>4384</v>
      </c>
      <c r="I21" s="13">
        <f>F21/H21</f>
        <v>0.15921532846715328</v>
      </c>
      <c r="J21" s="13">
        <f>E21/G21</f>
        <v>0.36826783114992723</v>
      </c>
      <c r="K21" s="12">
        <f>H21-F21</f>
        <v>3686</v>
      </c>
      <c r="L21" s="25">
        <f>K21/H21</f>
        <v>0.84078467153284675</v>
      </c>
    </row>
    <row r="22" spans="1:12">
      <c r="A22" s="7" t="s">
        <v>9</v>
      </c>
      <c r="B22" s="22" t="s">
        <v>57</v>
      </c>
      <c r="C22" s="11" t="s">
        <v>14</v>
      </c>
      <c r="D22" s="11" t="s">
        <v>58</v>
      </c>
      <c r="E22" s="11">
        <v>135</v>
      </c>
      <c r="F22" s="12">
        <v>698</v>
      </c>
      <c r="G22" s="12">
        <v>687</v>
      </c>
      <c r="H22" s="12">
        <v>4384</v>
      </c>
      <c r="I22" s="13">
        <f>F22/H22</f>
        <v>0.15921532846715328</v>
      </c>
      <c r="J22" s="13">
        <f>E22/G22</f>
        <v>0.1965065502183406</v>
      </c>
      <c r="K22" s="12">
        <f>H22-F22</f>
        <v>3686</v>
      </c>
      <c r="L22" s="25">
        <f>K22/H22</f>
        <v>0.84078467153284675</v>
      </c>
    </row>
    <row r="23" spans="1:12">
      <c r="A23" s="7" t="s">
        <v>9</v>
      </c>
      <c r="B23" s="22" t="s">
        <v>57</v>
      </c>
      <c r="C23" s="11" t="s">
        <v>14</v>
      </c>
      <c r="D23" s="11" t="s">
        <v>59</v>
      </c>
      <c r="E23" s="11">
        <v>124</v>
      </c>
      <c r="F23" s="12">
        <v>698</v>
      </c>
      <c r="G23" s="12">
        <v>687</v>
      </c>
      <c r="H23" s="12">
        <v>4384</v>
      </c>
      <c r="I23" s="13">
        <f>F23/H23</f>
        <v>0.15921532846715328</v>
      </c>
      <c r="J23" s="13">
        <f>E23/G23</f>
        <v>0.18049490538573509</v>
      </c>
      <c r="K23" s="12">
        <f>H23-F23</f>
        <v>3686</v>
      </c>
      <c r="L23" s="25">
        <f>K23/H23</f>
        <v>0.84078467153284675</v>
      </c>
    </row>
    <row r="24" spans="1:12">
      <c r="A24" s="7" t="s">
        <v>9</v>
      </c>
      <c r="B24" s="22" t="s">
        <v>57</v>
      </c>
      <c r="C24" s="11" t="s">
        <v>14</v>
      </c>
      <c r="D24" s="11" t="s">
        <v>60</v>
      </c>
      <c r="E24" s="11">
        <v>112</v>
      </c>
      <c r="F24" s="12">
        <v>698</v>
      </c>
      <c r="G24" s="12">
        <v>687</v>
      </c>
      <c r="H24" s="12">
        <v>4384</v>
      </c>
      <c r="I24" s="13">
        <f>F24/H24</f>
        <v>0.15921532846715328</v>
      </c>
      <c r="J24" s="13">
        <f>E24/G24</f>
        <v>0.16302765647743814</v>
      </c>
      <c r="K24" s="12">
        <f>H24-F24</f>
        <v>3686</v>
      </c>
      <c r="L24" s="25">
        <f>K24/H24</f>
        <v>0.84078467153284675</v>
      </c>
    </row>
    <row r="25" spans="1:12">
      <c r="A25" s="7" t="s">
        <v>9</v>
      </c>
      <c r="B25" s="22" t="s">
        <v>57</v>
      </c>
      <c r="C25" s="11" t="s">
        <v>14</v>
      </c>
      <c r="D25" s="11" t="s">
        <v>61</v>
      </c>
      <c r="E25" s="11">
        <v>43</v>
      </c>
      <c r="F25" s="12">
        <v>698</v>
      </c>
      <c r="G25" s="12">
        <v>687</v>
      </c>
      <c r="H25" s="12">
        <v>4384</v>
      </c>
      <c r="I25" s="13">
        <f>F25/H25</f>
        <v>0.15921532846715328</v>
      </c>
      <c r="J25" s="13">
        <f>E25/G25</f>
        <v>6.2590975254730716E-2</v>
      </c>
      <c r="K25" s="12">
        <f>H25-F25</f>
        <v>3686</v>
      </c>
      <c r="L25" s="25">
        <f>K25/H25</f>
        <v>0.84078467153284675</v>
      </c>
    </row>
    <row r="26" spans="1:12" s="6" customFormat="1">
      <c r="A26" s="7" t="s">
        <v>9</v>
      </c>
      <c r="B26" s="22" t="s">
        <v>57</v>
      </c>
      <c r="C26" s="11" t="s">
        <v>14</v>
      </c>
      <c r="D26" s="11" t="s">
        <v>62</v>
      </c>
      <c r="E26" s="11">
        <v>17</v>
      </c>
      <c r="F26" s="12">
        <v>698</v>
      </c>
      <c r="G26" s="12">
        <v>687</v>
      </c>
      <c r="H26" s="12">
        <v>4384</v>
      </c>
      <c r="I26" s="13">
        <f>F26/H26</f>
        <v>0.15921532846715328</v>
      </c>
      <c r="J26" s="13">
        <f>E26/G26</f>
        <v>2.4745269286754003E-2</v>
      </c>
      <c r="K26" s="12">
        <f>H26-F26</f>
        <v>3686</v>
      </c>
      <c r="L26" s="25">
        <f>K26/H26</f>
        <v>0.84078467153284675</v>
      </c>
    </row>
    <row r="27" spans="1:12" s="6" customFormat="1">
      <c r="A27" s="7" t="s">
        <v>9</v>
      </c>
      <c r="B27" s="22" t="s">
        <v>57</v>
      </c>
      <c r="C27" s="11" t="s">
        <v>14</v>
      </c>
      <c r="D27" s="11" t="s">
        <v>63</v>
      </c>
      <c r="E27" s="11">
        <v>2</v>
      </c>
      <c r="F27" s="12">
        <v>698</v>
      </c>
      <c r="G27" s="12">
        <v>687</v>
      </c>
      <c r="H27" s="12">
        <v>4384</v>
      </c>
      <c r="I27" s="13">
        <f>F27/H27</f>
        <v>0.15921532846715328</v>
      </c>
      <c r="J27" s="13">
        <f>E27/G27</f>
        <v>2.911208151382824E-3</v>
      </c>
      <c r="K27" s="12">
        <f>H27-F27</f>
        <v>3686</v>
      </c>
      <c r="L27" s="25">
        <f>K27/H27</f>
        <v>0.84078467153284675</v>
      </c>
    </row>
    <row r="28" spans="1:12" s="6" customFormat="1">
      <c r="A28" s="7" t="s">
        <v>9</v>
      </c>
      <c r="B28" s="22" t="s">
        <v>57</v>
      </c>
      <c r="C28" s="11" t="s">
        <v>14</v>
      </c>
      <c r="D28" s="11" t="s">
        <v>64</v>
      </c>
      <c r="E28" s="11">
        <v>1</v>
      </c>
      <c r="F28" s="12">
        <v>698</v>
      </c>
      <c r="G28" s="12">
        <v>687</v>
      </c>
      <c r="H28" s="12">
        <v>4384</v>
      </c>
      <c r="I28" s="13">
        <f>F28/H28</f>
        <v>0.15921532846715328</v>
      </c>
      <c r="J28" s="13">
        <f>E28/G28</f>
        <v>1.455604075691412E-3</v>
      </c>
      <c r="K28" s="12">
        <f>H28-F28</f>
        <v>3686</v>
      </c>
      <c r="L28" s="25">
        <f>K28/H28</f>
        <v>0.84078467153284675</v>
      </c>
    </row>
    <row r="29" spans="1:12" s="6" customFormat="1">
      <c r="A29" s="7" t="s">
        <v>9</v>
      </c>
      <c r="B29" s="22" t="s">
        <v>65</v>
      </c>
      <c r="C29" s="11" t="s">
        <v>15</v>
      </c>
      <c r="D29" s="11" t="s">
        <v>42</v>
      </c>
      <c r="E29" s="11">
        <v>641</v>
      </c>
      <c r="F29" s="12">
        <v>1925</v>
      </c>
      <c r="G29" s="12">
        <v>1897</v>
      </c>
      <c r="H29" s="12">
        <v>10247</v>
      </c>
      <c r="I29" s="13">
        <v>0.18779999999999999</v>
      </c>
      <c r="J29" s="13">
        <v>0.33789999999999998</v>
      </c>
      <c r="K29" s="12">
        <f>H29-F29</f>
        <v>8322</v>
      </c>
      <c r="L29" s="25">
        <f>K29/H29</f>
        <v>0.81214013857714451</v>
      </c>
    </row>
    <row r="30" spans="1:12" s="6" customFormat="1">
      <c r="A30" s="7" t="s">
        <v>9</v>
      </c>
      <c r="B30" s="22" t="s">
        <v>65</v>
      </c>
      <c r="C30" s="11" t="s">
        <v>15</v>
      </c>
      <c r="D30" s="11" t="s">
        <v>66</v>
      </c>
      <c r="E30" s="11">
        <v>495</v>
      </c>
      <c r="F30" s="12">
        <v>1925</v>
      </c>
      <c r="G30" s="12">
        <v>1897</v>
      </c>
      <c r="H30" s="12">
        <v>10247</v>
      </c>
      <c r="I30" s="13">
        <v>0.18779999999999999</v>
      </c>
      <c r="J30" s="13">
        <v>0.26090000000000002</v>
      </c>
      <c r="K30" s="12">
        <f>H30-F30</f>
        <v>8322</v>
      </c>
      <c r="L30" s="25">
        <f>K30/H30</f>
        <v>0.81214013857714451</v>
      </c>
    </row>
    <row r="31" spans="1:12" s="6" customFormat="1">
      <c r="A31" s="7" t="s">
        <v>9</v>
      </c>
      <c r="B31" s="22" t="s">
        <v>65</v>
      </c>
      <c r="C31" s="11" t="s">
        <v>15</v>
      </c>
      <c r="D31" s="11" t="s">
        <v>67</v>
      </c>
      <c r="E31" s="11">
        <v>397</v>
      </c>
      <c r="F31" s="12">
        <v>1925</v>
      </c>
      <c r="G31" s="12">
        <v>1897</v>
      </c>
      <c r="H31" s="12">
        <v>10247</v>
      </c>
      <c r="I31" s="13">
        <v>0.18779999999999999</v>
      </c>
      <c r="J31" s="13">
        <v>0.2092</v>
      </c>
      <c r="K31" s="12">
        <f>H31-F31</f>
        <v>8322</v>
      </c>
      <c r="L31" s="25">
        <f>K31/H31</f>
        <v>0.81214013857714451</v>
      </c>
    </row>
    <row r="32" spans="1:12">
      <c r="A32" s="7" t="s">
        <v>9</v>
      </c>
      <c r="B32" s="22" t="s">
        <v>65</v>
      </c>
      <c r="C32" s="11" t="s">
        <v>15</v>
      </c>
      <c r="D32" s="11" t="s">
        <v>39</v>
      </c>
      <c r="E32" s="11">
        <v>155</v>
      </c>
      <c r="F32" s="12">
        <v>1925</v>
      </c>
      <c r="G32" s="12">
        <v>1897</v>
      </c>
      <c r="H32" s="12">
        <v>10247</v>
      </c>
      <c r="I32" s="13">
        <v>0.18779999999999999</v>
      </c>
      <c r="J32" s="13">
        <v>8.1699999999999995E-2</v>
      </c>
      <c r="K32" s="12">
        <f>H32-F32</f>
        <v>8322</v>
      </c>
      <c r="L32" s="25">
        <f>K32/H32</f>
        <v>0.81214013857714451</v>
      </c>
    </row>
    <row r="33" spans="1:12">
      <c r="A33" s="7" t="s">
        <v>9</v>
      </c>
      <c r="B33" s="22" t="s">
        <v>65</v>
      </c>
      <c r="C33" s="11" t="s">
        <v>15</v>
      </c>
      <c r="D33" s="11" t="s">
        <v>53</v>
      </c>
      <c r="E33" s="11">
        <v>120</v>
      </c>
      <c r="F33" s="12">
        <v>1925</v>
      </c>
      <c r="G33" s="12">
        <v>1897</v>
      </c>
      <c r="H33" s="12">
        <v>10247</v>
      </c>
      <c r="I33" s="13">
        <v>0.18779999999999999</v>
      </c>
      <c r="J33" s="13">
        <v>6.3200000000000006E-2</v>
      </c>
      <c r="K33" s="12">
        <f>H33-F33</f>
        <v>8322</v>
      </c>
      <c r="L33" s="25">
        <f>K33/H33</f>
        <v>0.81214013857714451</v>
      </c>
    </row>
    <row r="34" spans="1:12" s="6" customFormat="1">
      <c r="A34" s="7" t="s">
        <v>9</v>
      </c>
      <c r="B34" s="22" t="s">
        <v>65</v>
      </c>
      <c r="C34" s="11" t="s">
        <v>15</v>
      </c>
      <c r="D34" s="11" t="s">
        <v>68</v>
      </c>
      <c r="E34" s="11">
        <v>54</v>
      </c>
      <c r="F34" s="12">
        <v>1925</v>
      </c>
      <c r="G34" s="12">
        <v>1897</v>
      </c>
      <c r="H34" s="12">
        <v>10247</v>
      </c>
      <c r="I34" s="13">
        <v>0.18779999999999999</v>
      </c>
      <c r="J34" s="13">
        <v>2.8400000000000002E-2</v>
      </c>
      <c r="K34" s="12">
        <f>H34-F34</f>
        <v>8322</v>
      </c>
      <c r="L34" s="25">
        <f>K34/H34</f>
        <v>0.81214013857714451</v>
      </c>
    </row>
    <row r="35" spans="1:12">
      <c r="A35" s="7" t="s">
        <v>9</v>
      </c>
      <c r="B35" s="22" t="s">
        <v>65</v>
      </c>
      <c r="C35" s="11" t="s">
        <v>15</v>
      </c>
      <c r="D35" s="11" t="s">
        <v>69</v>
      </c>
      <c r="E35" s="11">
        <v>22</v>
      </c>
      <c r="F35" s="12">
        <v>1925</v>
      </c>
      <c r="G35" s="12">
        <v>1897</v>
      </c>
      <c r="H35" s="12">
        <v>10247</v>
      </c>
      <c r="I35" s="13">
        <v>0.18779999999999999</v>
      </c>
      <c r="J35" s="13">
        <v>1.15E-2</v>
      </c>
      <c r="K35" s="12">
        <f>H35-F35</f>
        <v>8322</v>
      </c>
      <c r="L35" s="25">
        <f>K35/H35</f>
        <v>0.81214013857714451</v>
      </c>
    </row>
    <row r="36" spans="1:12">
      <c r="A36" s="7" t="s">
        <v>9</v>
      </c>
      <c r="B36" s="22" t="s">
        <v>65</v>
      </c>
      <c r="C36" s="11" t="s">
        <v>15</v>
      </c>
      <c r="D36" s="11" t="s">
        <v>70</v>
      </c>
      <c r="E36" s="11">
        <v>13</v>
      </c>
      <c r="F36" s="12">
        <v>1925</v>
      </c>
      <c r="G36" s="12">
        <v>1897</v>
      </c>
      <c r="H36" s="12">
        <v>10247</v>
      </c>
      <c r="I36" s="13">
        <v>0.18779999999999999</v>
      </c>
      <c r="J36" s="13">
        <v>6.7999999999999996E-3</v>
      </c>
      <c r="K36" s="12">
        <f>H36-F36</f>
        <v>8322</v>
      </c>
      <c r="L36" s="25">
        <f>K36/H36</f>
        <v>0.81214013857714451</v>
      </c>
    </row>
    <row r="37" spans="1:12">
      <c r="A37" s="7" t="s">
        <v>9</v>
      </c>
      <c r="B37" s="21" t="s">
        <v>71</v>
      </c>
      <c r="C37" s="7" t="s">
        <v>16</v>
      </c>
      <c r="D37" s="7" t="s">
        <v>42</v>
      </c>
      <c r="E37" s="10">
        <v>1457</v>
      </c>
      <c r="F37" s="8">
        <v>6118</v>
      </c>
      <c r="G37" s="8">
        <v>6020</v>
      </c>
      <c r="H37" s="8">
        <v>23255</v>
      </c>
      <c r="I37" s="9">
        <f>F37/H37</f>
        <v>0.26308320791227691</v>
      </c>
      <c r="J37" s="9">
        <f>E37/G37</f>
        <v>0.24202657807308969</v>
      </c>
      <c r="K37" s="8">
        <f>H37-F37</f>
        <v>17137</v>
      </c>
      <c r="L37" s="26">
        <f>K37/H37</f>
        <v>0.73691679208772309</v>
      </c>
    </row>
    <row r="38" spans="1:12">
      <c r="A38" s="7" t="s">
        <v>9</v>
      </c>
      <c r="B38" s="21" t="s">
        <v>71</v>
      </c>
      <c r="C38" s="7" t="s">
        <v>16</v>
      </c>
      <c r="D38" s="7" t="s">
        <v>72</v>
      </c>
      <c r="E38" s="7">
        <v>837</v>
      </c>
      <c r="F38" s="8">
        <v>6118</v>
      </c>
      <c r="G38" s="8">
        <v>6020</v>
      </c>
      <c r="H38" s="8">
        <v>23255</v>
      </c>
      <c r="I38" s="9">
        <f>F38/H38</f>
        <v>0.26308320791227691</v>
      </c>
      <c r="J38" s="9">
        <f>E38/G38</f>
        <v>0.13903654485049835</v>
      </c>
      <c r="K38" s="8">
        <f>H38-F38</f>
        <v>17137</v>
      </c>
      <c r="L38" s="26">
        <f>K38/H38</f>
        <v>0.73691679208772309</v>
      </c>
    </row>
    <row r="39" spans="1:12">
      <c r="A39" s="7" t="s">
        <v>9</v>
      </c>
      <c r="B39" s="21" t="s">
        <v>71</v>
      </c>
      <c r="C39" s="7" t="s">
        <v>16</v>
      </c>
      <c r="D39" s="7" t="s">
        <v>73</v>
      </c>
      <c r="E39" s="7">
        <v>519</v>
      </c>
      <c r="F39" s="8">
        <v>6118</v>
      </c>
      <c r="G39" s="8">
        <v>6020</v>
      </c>
      <c r="H39" s="8">
        <v>23255</v>
      </c>
      <c r="I39" s="9">
        <f>F39/H39</f>
        <v>0.26308320791227691</v>
      </c>
      <c r="J39" s="9">
        <f>E39/G39</f>
        <v>8.6212624584717609E-2</v>
      </c>
      <c r="K39" s="8">
        <f>H39-F39</f>
        <v>17137</v>
      </c>
      <c r="L39" s="26">
        <f>K39/H39</f>
        <v>0.73691679208772309</v>
      </c>
    </row>
    <row r="40" spans="1:12">
      <c r="A40" s="7" t="s">
        <v>9</v>
      </c>
      <c r="B40" s="21" t="s">
        <v>71</v>
      </c>
      <c r="C40" s="7" t="s">
        <v>16</v>
      </c>
      <c r="D40" s="7" t="s">
        <v>39</v>
      </c>
      <c r="E40" s="7">
        <v>489</v>
      </c>
      <c r="F40" s="8">
        <v>6118</v>
      </c>
      <c r="G40" s="8">
        <v>6020</v>
      </c>
      <c r="H40" s="8">
        <v>23255</v>
      </c>
      <c r="I40" s="9">
        <f>F40/H40</f>
        <v>0.26308320791227691</v>
      </c>
      <c r="J40" s="9">
        <f>E40/G40</f>
        <v>8.1229235880398667E-2</v>
      </c>
      <c r="K40" s="8">
        <f>H40-F40</f>
        <v>17137</v>
      </c>
      <c r="L40" s="26">
        <f>K40/H40</f>
        <v>0.73691679208772309</v>
      </c>
    </row>
    <row r="41" spans="1:12">
      <c r="A41" s="7" t="s">
        <v>9</v>
      </c>
      <c r="B41" s="21" t="s">
        <v>71</v>
      </c>
      <c r="C41" s="7" t="s">
        <v>16</v>
      </c>
      <c r="D41" s="7" t="s">
        <v>74</v>
      </c>
      <c r="E41" s="7">
        <v>393</v>
      </c>
      <c r="F41" s="8">
        <v>6118</v>
      </c>
      <c r="G41" s="8">
        <v>6020</v>
      </c>
      <c r="H41" s="8">
        <v>23255</v>
      </c>
      <c r="I41" s="9">
        <f>F41/H41</f>
        <v>0.26308320791227691</v>
      </c>
      <c r="J41" s="9">
        <f>E41/G41</f>
        <v>6.5282392026578068E-2</v>
      </c>
      <c r="K41" s="8">
        <f>H41-F41</f>
        <v>17137</v>
      </c>
      <c r="L41" s="26">
        <f>K41/H41</f>
        <v>0.73691679208772309</v>
      </c>
    </row>
    <row r="42" spans="1:12">
      <c r="A42" s="7" t="s">
        <v>9</v>
      </c>
      <c r="B42" s="21" t="s">
        <v>71</v>
      </c>
      <c r="C42" s="7" t="s">
        <v>16</v>
      </c>
      <c r="D42" s="7" t="s">
        <v>75</v>
      </c>
      <c r="E42" s="7">
        <v>379</v>
      </c>
      <c r="F42" s="8">
        <v>6118</v>
      </c>
      <c r="G42" s="8">
        <v>6020</v>
      </c>
      <c r="H42" s="8">
        <v>23255</v>
      </c>
      <c r="I42" s="9">
        <f>F42/H42</f>
        <v>0.26308320791227691</v>
      </c>
      <c r="J42" s="9">
        <f>E42/G42</f>
        <v>6.2956810631229237E-2</v>
      </c>
      <c r="K42" s="8">
        <f>H42-F42</f>
        <v>17137</v>
      </c>
      <c r="L42" s="26">
        <f>K42/H42</f>
        <v>0.73691679208772309</v>
      </c>
    </row>
    <row r="43" spans="1:12">
      <c r="A43" s="7" t="s">
        <v>9</v>
      </c>
      <c r="B43" s="21" t="s">
        <v>71</v>
      </c>
      <c r="C43" s="7" t="s">
        <v>16</v>
      </c>
      <c r="D43" s="7" t="s">
        <v>76</v>
      </c>
      <c r="E43" s="7">
        <v>339</v>
      </c>
      <c r="F43" s="8">
        <v>6118</v>
      </c>
      <c r="G43" s="8">
        <v>6020</v>
      </c>
      <c r="H43" s="8">
        <v>23255</v>
      </c>
      <c r="I43" s="9">
        <f>F43/H43</f>
        <v>0.26308320791227691</v>
      </c>
      <c r="J43" s="9">
        <f>E43/G43</f>
        <v>5.6312292358803986E-2</v>
      </c>
      <c r="K43" s="8">
        <f>H43-F43</f>
        <v>17137</v>
      </c>
      <c r="L43" s="26">
        <f>K43/H43</f>
        <v>0.73691679208772309</v>
      </c>
    </row>
    <row r="44" spans="1:12">
      <c r="A44" s="7" t="s">
        <v>9</v>
      </c>
      <c r="B44" s="21" t="s">
        <v>71</v>
      </c>
      <c r="C44" s="7" t="s">
        <v>16</v>
      </c>
      <c r="D44" s="7" t="s">
        <v>77</v>
      </c>
      <c r="E44" s="7">
        <v>326</v>
      </c>
      <c r="F44" s="8">
        <v>6118</v>
      </c>
      <c r="G44" s="8">
        <v>6020</v>
      </c>
      <c r="H44" s="8">
        <v>23255</v>
      </c>
      <c r="I44" s="9">
        <f>F44/H44</f>
        <v>0.26308320791227691</v>
      </c>
      <c r="J44" s="9">
        <f>E44/G44</f>
        <v>5.4152823920265783E-2</v>
      </c>
      <c r="K44" s="8">
        <f>H44-F44</f>
        <v>17137</v>
      </c>
      <c r="L44" s="26">
        <f>K44/H44</f>
        <v>0.73691679208772309</v>
      </c>
    </row>
    <row r="45" spans="1:12">
      <c r="A45" s="7" t="s">
        <v>9</v>
      </c>
      <c r="B45" s="21" t="s">
        <v>71</v>
      </c>
      <c r="C45" s="7" t="s">
        <v>16</v>
      </c>
      <c r="D45" s="7" t="s">
        <v>78</v>
      </c>
      <c r="E45" s="7">
        <v>290</v>
      </c>
      <c r="F45" s="8">
        <v>6118</v>
      </c>
      <c r="G45" s="8">
        <v>6020</v>
      </c>
      <c r="H45" s="8">
        <v>23255</v>
      </c>
      <c r="I45" s="9">
        <f>F45/H45</f>
        <v>0.26308320791227691</v>
      </c>
      <c r="J45" s="9">
        <f>E45/G45</f>
        <v>4.817275747508306E-2</v>
      </c>
      <c r="K45" s="8">
        <f>H45-F45</f>
        <v>17137</v>
      </c>
      <c r="L45" s="26">
        <f>K45/H45</f>
        <v>0.73691679208772309</v>
      </c>
    </row>
    <row r="46" spans="1:12">
      <c r="A46" s="7" t="s">
        <v>9</v>
      </c>
      <c r="B46" s="21" t="s">
        <v>71</v>
      </c>
      <c r="C46" s="7" t="s">
        <v>16</v>
      </c>
      <c r="D46" s="7" t="s">
        <v>79</v>
      </c>
      <c r="E46" s="7">
        <v>283</v>
      </c>
      <c r="F46" s="8">
        <v>6118</v>
      </c>
      <c r="G46" s="8">
        <v>6020</v>
      </c>
      <c r="H46" s="8">
        <v>23255</v>
      </c>
      <c r="I46" s="9">
        <f>F46/H46</f>
        <v>0.26308320791227691</v>
      </c>
      <c r="J46" s="9">
        <f>E46/G46</f>
        <v>4.7009966777408638E-2</v>
      </c>
      <c r="K46" s="8">
        <f>H46-F46</f>
        <v>17137</v>
      </c>
      <c r="L46" s="26">
        <f>K46/H46</f>
        <v>0.73691679208772309</v>
      </c>
    </row>
    <row r="47" spans="1:12">
      <c r="A47" s="7" t="s">
        <v>9</v>
      </c>
      <c r="B47" s="21" t="s">
        <v>71</v>
      </c>
      <c r="C47" s="7" t="s">
        <v>16</v>
      </c>
      <c r="D47" s="7" t="s">
        <v>80</v>
      </c>
      <c r="E47" s="7">
        <v>273</v>
      </c>
      <c r="F47" s="8">
        <v>6118</v>
      </c>
      <c r="G47" s="8">
        <v>6020</v>
      </c>
      <c r="H47" s="8">
        <v>23255</v>
      </c>
      <c r="I47" s="9">
        <f>F47/H47</f>
        <v>0.26308320791227691</v>
      </c>
      <c r="J47" s="9">
        <f>E47/G47</f>
        <v>4.5348837209302328E-2</v>
      </c>
      <c r="K47" s="8">
        <f>H47-F47</f>
        <v>17137</v>
      </c>
      <c r="L47" s="26">
        <f>K47/H47</f>
        <v>0.73691679208772309</v>
      </c>
    </row>
    <row r="48" spans="1:12">
      <c r="A48" s="7" t="s">
        <v>9</v>
      </c>
      <c r="B48" s="21" t="s">
        <v>71</v>
      </c>
      <c r="C48" s="7" t="s">
        <v>16</v>
      </c>
      <c r="D48" s="7" t="s">
        <v>40</v>
      </c>
      <c r="E48" s="7">
        <v>145</v>
      </c>
      <c r="F48" s="8">
        <v>6118</v>
      </c>
      <c r="G48" s="8">
        <v>6020</v>
      </c>
      <c r="H48" s="8">
        <v>23255</v>
      </c>
      <c r="I48" s="9">
        <f>F48/H48</f>
        <v>0.26308320791227691</v>
      </c>
      <c r="J48" s="9">
        <v>2.4E-2</v>
      </c>
      <c r="K48" s="8">
        <f>H48-F48</f>
        <v>17137</v>
      </c>
      <c r="L48" s="26">
        <f>K48/H48</f>
        <v>0.73691679208772309</v>
      </c>
    </row>
    <row r="49" spans="1:12">
      <c r="A49" s="7" t="s">
        <v>9</v>
      </c>
      <c r="B49" s="21" t="s">
        <v>71</v>
      </c>
      <c r="C49" s="7" t="s">
        <v>16</v>
      </c>
      <c r="D49" s="7" t="s">
        <v>58</v>
      </c>
      <c r="E49" s="7">
        <v>134</v>
      </c>
      <c r="F49" s="8">
        <v>6118</v>
      </c>
      <c r="G49" s="8">
        <v>6020</v>
      </c>
      <c r="H49" s="8">
        <v>23255</v>
      </c>
      <c r="I49" s="9">
        <f>F49/H49</f>
        <v>0.26308320791227691</v>
      </c>
      <c r="J49" s="9">
        <v>2.2200000000000001E-2</v>
      </c>
      <c r="K49" s="8">
        <f>H49-F49</f>
        <v>17137</v>
      </c>
      <c r="L49" s="26">
        <f>K49/H49</f>
        <v>0.73691679208772309</v>
      </c>
    </row>
    <row r="50" spans="1:12">
      <c r="A50" s="7" t="s">
        <v>9</v>
      </c>
      <c r="B50" s="21" t="s">
        <v>81</v>
      </c>
      <c r="C50" s="7" t="s">
        <v>16</v>
      </c>
      <c r="D50" s="7" t="s">
        <v>82</v>
      </c>
      <c r="E50" s="7">
        <v>89</v>
      </c>
      <c r="F50" s="8">
        <v>6118</v>
      </c>
      <c r="G50" s="8">
        <v>6020</v>
      </c>
      <c r="H50" s="8">
        <v>23255</v>
      </c>
      <c r="I50" s="9">
        <f>F50/H50</f>
        <v>0.26308320791227691</v>
      </c>
      <c r="J50" s="9">
        <v>1.47E-2</v>
      </c>
      <c r="K50" s="8">
        <f>H50-F50</f>
        <v>17137</v>
      </c>
      <c r="L50" s="26">
        <f>K50/H50</f>
        <v>0.73691679208772309</v>
      </c>
    </row>
    <row r="51" spans="1:12">
      <c r="A51" s="7" t="s">
        <v>9</v>
      </c>
      <c r="B51" s="21" t="s">
        <v>83</v>
      </c>
      <c r="C51" s="7" t="s">
        <v>16</v>
      </c>
      <c r="D51" s="7" t="s">
        <v>69</v>
      </c>
      <c r="E51" s="7">
        <v>64</v>
      </c>
      <c r="F51" s="8">
        <v>6118</v>
      </c>
      <c r="G51" s="8">
        <v>6020</v>
      </c>
      <c r="H51" s="8">
        <v>23255</v>
      </c>
      <c r="I51" s="9">
        <f>F51/H51</f>
        <v>0.26308320791227691</v>
      </c>
      <c r="J51" s="9">
        <v>1.06E-2</v>
      </c>
      <c r="K51" s="8">
        <f>H51-F51</f>
        <v>17137</v>
      </c>
      <c r="L51" s="26">
        <f>K51/H51</f>
        <v>0.73691679208772309</v>
      </c>
    </row>
    <row r="52" spans="1:12" s="6" customFormat="1">
      <c r="A52" s="7" t="s">
        <v>9</v>
      </c>
      <c r="B52" s="21" t="s">
        <v>84</v>
      </c>
      <c r="C52" s="7" t="s">
        <v>16</v>
      </c>
      <c r="D52" s="7" t="s">
        <v>85</v>
      </c>
      <c r="E52" s="7">
        <v>3</v>
      </c>
      <c r="F52" s="8">
        <v>6118</v>
      </c>
      <c r="G52" s="8">
        <v>6020</v>
      </c>
      <c r="H52" s="8">
        <v>23255</v>
      </c>
      <c r="I52" s="9">
        <f>F52/H52</f>
        <v>0.26308320791227691</v>
      </c>
      <c r="J52" s="9">
        <v>4.0000000000000002E-4</v>
      </c>
      <c r="K52" s="8">
        <f>H52-F52</f>
        <v>17137</v>
      </c>
      <c r="L52" s="26">
        <f>K52/H52</f>
        <v>0.73691679208772309</v>
      </c>
    </row>
    <row r="53" spans="1:12" s="6" customFormat="1">
      <c r="A53" s="7" t="s">
        <v>9</v>
      </c>
      <c r="B53" s="22" t="s">
        <v>37</v>
      </c>
      <c r="C53" s="11" t="s">
        <v>10</v>
      </c>
      <c r="D53" s="11" t="s">
        <v>53</v>
      </c>
      <c r="E53" s="11">
        <v>126</v>
      </c>
      <c r="F53" s="12">
        <v>2141</v>
      </c>
      <c r="G53" s="12">
        <v>2106</v>
      </c>
      <c r="H53" s="12">
        <v>16052</v>
      </c>
      <c r="I53" s="13">
        <f>F53/H53</f>
        <v>0.13337901819087963</v>
      </c>
      <c r="J53" s="13">
        <v>5.9799999999999999E-2</v>
      </c>
      <c r="K53" s="12">
        <f>H53-F53</f>
        <v>13911</v>
      </c>
      <c r="L53" s="25">
        <f>K53/H53</f>
        <v>0.86662098180912039</v>
      </c>
    </row>
    <row r="54" spans="1:12" s="6" customFormat="1">
      <c r="A54" s="7" t="s">
        <v>9</v>
      </c>
      <c r="B54" s="22" t="s">
        <v>37</v>
      </c>
      <c r="C54" s="11" t="s">
        <v>10</v>
      </c>
      <c r="D54" s="11" t="s">
        <v>86</v>
      </c>
      <c r="E54" s="11">
        <v>123</v>
      </c>
      <c r="F54" s="12">
        <v>2141</v>
      </c>
      <c r="G54" s="12">
        <v>2106</v>
      </c>
      <c r="H54" s="12">
        <v>16052</v>
      </c>
      <c r="I54" s="13">
        <f>F54/H54</f>
        <v>0.13337901819087963</v>
      </c>
      <c r="J54" s="13">
        <v>5.8400000000000001E-2</v>
      </c>
      <c r="K54" s="12">
        <f>H54-F54</f>
        <v>13911</v>
      </c>
      <c r="L54" s="25">
        <f>K54/H54</f>
        <v>0.86662098180912039</v>
      </c>
    </row>
    <row r="55" spans="1:12" s="6" customFormat="1">
      <c r="A55" s="7" t="s">
        <v>9</v>
      </c>
      <c r="B55" s="22" t="s">
        <v>37</v>
      </c>
      <c r="C55" s="11" t="s">
        <v>10</v>
      </c>
      <c r="D55" s="11" t="s">
        <v>87</v>
      </c>
      <c r="E55" s="11">
        <v>116</v>
      </c>
      <c r="F55" s="12">
        <v>2141</v>
      </c>
      <c r="G55" s="12">
        <v>2106</v>
      </c>
      <c r="H55" s="12">
        <v>16052</v>
      </c>
      <c r="I55" s="13">
        <f>F55/H55</f>
        <v>0.13337901819087963</v>
      </c>
      <c r="J55" s="13">
        <v>5.5E-2</v>
      </c>
      <c r="K55" s="12">
        <f>H55-F55</f>
        <v>13911</v>
      </c>
      <c r="L55" s="25">
        <f>K55/H55</f>
        <v>0.86662098180912039</v>
      </c>
    </row>
    <row r="56" spans="1:12" s="6" customFormat="1">
      <c r="A56" s="7" t="s">
        <v>9</v>
      </c>
      <c r="B56" s="22" t="s">
        <v>37</v>
      </c>
      <c r="C56" s="11" t="s">
        <v>10</v>
      </c>
      <c r="D56" s="11" t="s">
        <v>70</v>
      </c>
      <c r="E56" s="11">
        <v>78</v>
      </c>
      <c r="F56" s="12">
        <v>2141</v>
      </c>
      <c r="G56" s="12">
        <v>2106</v>
      </c>
      <c r="H56" s="12">
        <v>16052</v>
      </c>
      <c r="I56" s="13">
        <f>F56/H56</f>
        <v>0.13337901819087963</v>
      </c>
      <c r="J56" s="13">
        <v>3.6999999999999998E-2</v>
      </c>
      <c r="K56" s="12">
        <f>H56-F56</f>
        <v>13911</v>
      </c>
      <c r="L56" s="25">
        <f>K56/H56</f>
        <v>0.86662098180912039</v>
      </c>
    </row>
    <row r="57" spans="1:12" s="6" customFormat="1">
      <c r="A57" s="7" t="s">
        <v>9</v>
      </c>
      <c r="B57" s="22" t="s">
        <v>37</v>
      </c>
      <c r="C57" s="11" t="s">
        <v>10</v>
      </c>
      <c r="D57" s="11" t="s">
        <v>74</v>
      </c>
      <c r="E57" s="11">
        <v>17</v>
      </c>
      <c r="F57" s="12">
        <v>2141</v>
      </c>
      <c r="G57" s="12">
        <v>2106</v>
      </c>
      <c r="H57" s="12">
        <v>16052</v>
      </c>
      <c r="I57" s="13">
        <f>F57/H57</f>
        <v>0.13337901819087963</v>
      </c>
      <c r="J57" s="13">
        <v>8.0000000000000002E-3</v>
      </c>
      <c r="K57" s="12">
        <f>H57-F57</f>
        <v>13911</v>
      </c>
      <c r="L57" s="25">
        <f>K57/H57</f>
        <v>0.86662098180912039</v>
      </c>
    </row>
    <row r="58" spans="1:12">
      <c r="A58" s="7" t="s">
        <v>9</v>
      </c>
      <c r="B58" s="22" t="s">
        <v>37</v>
      </c>
      <c r="C58" s="11" t="s">
        <v>10</v>
      </c>
      <c r="D58" s="11" t="s">
        <v>88</v>
      </c>
      <c r="E58" s="11">
        <v>15</v>
      </c>
      <c r="F58" s="12">
        <v>2141</v>
      </c>
      <c r="G58" s="12">
        <v>2106</v>
      </c>
      <c r="H58" s="12">
        <v>16052</v>
      </c>
      <c r="I58" s="13">
        <f>F58/H58</f>
        <v>0.13337901819087963</v>
      </c>
      <c r="J58" s="13">
        <v>7.1000000000000004E-3</v>
      </c>
      <c r="K58" s="12">
        <f>H58-F58</f>
        <v>13911</v>
      </c>
      <c r="L58" s="25">
        <f>K58/H58</f>
        <v>0.86662098180912039</v>
      </c>
    </row>
    <row r="59" spans="1:12" s="6" customFormat="1">
      <c r="A59" s="7" t="s">
        <v>9</v>
      </c>
      <c r="B59" s="21" t="s">
        <v>89</v>
      </c>
      <c r="C59" s="7" t="s">
        <v>17</v>
      </c>
      <c r="D59" s="7" t="s">
        <v>42</v>
      </c>
      <c r="E59" s="7">
        <v>227</v>
      </c>
      <c r="F59" s="8">
        <v>780</v>
      </c>
      <c r="G59" s="8">
        <v>755</v>
      </c>
      <c r="H59" s="8">
        <v>7643</v>
      </c>
      <c r="I59" s="9">
        <v>0.10199999999999999</v>
      </c>
      <c r="J59" s="9">
        <v>0.30059999999999998</v>
      </c>
      <c r="K59" s="8">
        <f>H59-F59</f>
        <v>6863</v>
      </c>
      <c r="L59" s="26">
        <f>K59/H59</f>
        <v>0.89794583278817219</v>
      </c>
    </row>
    <row r="60" spans="1:12">
      <c r="A60" s="7" t="s">
        <v>9</v>
      </c>
      <c r="B60" s="21" t="s">
        <v>89</v>
      </c>
      <c r="C60" s="7" t="s">
        <v>17</v>
      </c>
      <c r="D60" s="7" t="s">
        <v>90</v>
      </c>
      <c r="E60" s="7">
        <v>222</v>
      </c>
      <c r="F60" s="8">
        <v>780</v>
      </c>
      <c r="G60" s="8">
        <v>755</v>
      </c>
      <c r="H60" s="8">
        <v>7643</v>
      </c>
      <c r="I60" s="9">
        <v>0.10199999999999999</v>
      </c>
      <c r="J60" s="9">
        <v>0.29399999999999998</v>
      </c>
      <c r="K60" s="8">
        <f>H60-F60</f>
        <v>6863</v>
      </c>
      <c r="L60" s="26">
        <f>K60/H60</f>
        <v>0.89794583278817219</v>
      </c>
    </row>
    <row r="61" spans="1:12">
      <c r="A61" s="7" t="s">
        <v>9</v>
      </c>
      <c r="B61" s="21" t="s">
        <v>89</v>
      </c>
      <c r="C61" s="7" t="s">
        <v>17</v>
      </c>
      <c r="D61" s="7" t="s">
        <v>91</v>
      </c>
      <c r="E61" s="7">
        <v>209</v>
      </c>
      <c r="F61" s="8">
        <v>780</v>
      </c>
      <c r="G61" s="8">
        <v>755</v>
      </c>
      <c r="H61" s="8">
        <v>7643</v>
      </c>
      <c r="I61" s="9">
        <v>0.10199999999999999</v>
      </c>
      <c r="J61" s="9">
        <v>0.27679999999999999</v>
      </c>
      <c r="K61" s="8">
        <f>H61-F61</f>
        <v>6863</v>
      </c>
      <c r="L61" s="26">
        <f>K61/H61</f>
        <v>0.89794583278817219</v>
      </c>
    </row>
    <row r="62" spans="1:12">
      <c r="A62" s="7" t="s">
        <v>9</v>
      </c>
      <c r="B62" s="21" t="s">
        <v>89</v>
      </c>
      <c r="C62" s="7" t="s">
        <v>17</v>
      </c>
      <c r="D62" s="7" t="s">
        <v>82</v>
      </c>
      <c r="E62" s="7">
        <v>65</v>
      </c>
      <c r="F62" s="8">
        <v>780</v>
      </c>
      <c r="G62" s="8">
        <v>755</v>
      </c>
      <c r="H62" s="8">
        <v>7643</v>
      </c>
      <c r="I62" s="9">
        <v>0.10199999999999999</v>
      </c>
      <c r="J62" s="9">
        <v>8.5999999999999993E-2</v>
      </c>
      <c r="K62" s="8">
        <f>H62-F62</f>
        <v>6863</v>
      </c>
      <c r="L62" s="26">
        <f>K62/H62</f>
        <v>0.89794583278817219</v>
      </c>
    </row>
    <row r="63" spans="1:12">
      <c r="A63" s="7" t="s">
        <v>9</v>
      </c>
      <c r="B63" s="21" t="s">
        <v>89</v>
      </c>
      <c r="C63" s="7" t="s">
        <v>17</v>
      </c>
      <c r="D63" s="7" t="s">
        <v>53</v>
      </c>
      <c r="E63" s="7">
        <v>32</v>
      </c>
      <c r="F63" s="8">
        <v>780</v>
      </c>
      <c r="G63" s="8">
        <v>755</v>
      </c>
      <c r="H63" s="8">
        <v>7643</v>
      </c>
      <c r="I63" s="9">
        <v>0.10199999999999999</v>
      </c>
      <c r="J63" s="9">
        <v>4.2299999999999997E-2</v>
      </c>
      <c r="K63" s="8">
        <f>H63-F63</f>
        <v>6863</v>
      </c>
      <c r="L63" s="26">
        <f>K63/H63</f>
        <v>0.89794583278817219</v>
      </c>
    </row>
    <row r="64" spans="1:12">
      <c r="A64" s="7" t="s">
        <v>9</v>
      </c>
      <c r="B64" s="22" t="s">
        <v>45</v>
      </c>
      <c r="C64" s="11" t="s">
        <v>11</v>
      </c>
      <c r="D64" s="11" t="s">
        <v>40</v>
      </c>
      <c r="E64" s="11">
        <v>128</v>
      </c>
      <c r="F64" s="12">
        <v>2347</v>
      </c>
      <c r="G64" s="12">
        <v>2312</v>
      </c>
      <c r="H64" s="12">
        <v>11351</v>
      </c>
      <c r="I64" s="13">
        <v>0.20669999999999999</v>
      </c>
      <c r="J64" s="13">
        <v>5.5300000000000002E-2</v>
      </c>
      <c r="K64" s="12">
        <f>H64-F64</f>
        <v>9004</v>
      </c>
      <c r="L64" s="25">
        <f>K64/H64</f>
        <v>0.7932340762928376</v>
      </c>
    </row>
    <row r="65" spans="1:12">
      <c r="A65" s="7" t="s">
        <v>9</v>
      </c>
      <c r="B65" s="22" t="s">
        <v>45</v>
      </c>
      <c r="C65" s="11" t="s">
        <v>11</v>
      </c>
      <c r="D65" s="11" t="s">
        <v>70</v>
      </c>
      <c r="E65" s="11">
        <v>100</v>
      </c>
      <c r="F65" s="12">
        <v>2347</v>
      </c>
      <c r="G65" s="12">
        <v>2312</v>
      </c>
      <c r="H65" s="12">
        <v>11351</v>
      </c>
      <c r="I65" s="13">
        <v>0.20669999999999999</v>
      </c>
      <c r="J65" s="13">
        <v>4.3200000000000002E-2</v>
      </c>
      <c r="K65" s="12">
        <f>H65-F65</f>
        <v>9004</v>
      </c>
      <c r="L65" s="25">
        <f>K65/H65</f>
        <v>0.7932340762928376</v>
      </c>
    </row>
    <row r="66" spans="1:12">
      <c r="A66" s="7" t="s">
        <v>9</v>
      </c>
      <c r="B66" s="22" t="s">
        <v>45</v>
      </c>
      <c r="C66" s="11" t="s">
        <v>11</v>
      </c>
      <c r="D66" s="11" t="s">
        <v>92</v>
      </c>
      <c r="E66" s="11">
        <v>72</v>
      </c>
      <c r="F66" s="12">
        <v>2347</v>
      </c>
      <c r="G66" s="12">
        <v>2312</v>
      </c>
      <c r="H66" s="12">
        <v>11351</v>
      </c>
      <c r="I66" s="13">
        <v>0.20669999999999999</v>
      </c>
      <c r="J66" s="13">
        <v>3.1099999999999999E-2</v>
      </c>
      <c r="K66" s="12">
        <f>H66-F66</f>
        <v>9004</v>
      </c>
      <c r="L66" s="25">
        <f>K66/H66</f>
        <v>0.7932340762928376</v>
      </c>
    </row>
    <row r="67" spans="1:12">
      <c r="A67" s="7" t="s">
        <v>9</v>
      </c>
      <c r="B67" s="22" t="s">
        <v>45</v>
      </c>
      <c r="C67" s="11" t="s">
        <v>11</v>
      </c>
      <c r="D67" s="11" t="s">
        <v>93</v>
      </c>
      <c r="E67" s="11">
        <v>69</v>
      </c>
      <c r="F67" s="12">
        <v>2347</v>
      </c>
      <c r="G67" s="12">
        <v>2312</v>
      </c>
      <c r="H67" s="12">
        <v>11351</v>
      </c>
      <c r="I67" s="13">
        <v>0.20669999999999999</v>
      </c>
      <c r="J67" s="13">
        <v>2.98E-2</v>
      </c>
      <c r="K67" s="12">
        <f>H67-F67</f>
        <v>9004</v>
      </c>
      <c r="L67" s="25">
        <f>K67/H67</f>
        <v>0.7932340762928376</v>
      </c>
    </row>
    <row r="68" spans="1:12">
      <c r="A68" s="7" t="s">
        <v>9</v>
      </c>
      <c r="B68" s="22" t="s">
        <v>45</v>
      </c>
      <c r="C68" s="11" t="s">
        <v>11</v>
      </c>
      <c r="D68" s="11" t="s">
        <v>94</v>
      </c>
      <c r="E68" s="11">
        <v>67</v>
      </c>
      <c r="F68" s="12">
        <v>2347</v>
      </c>
      <c r="G68" s="12">
        <v>2312</v>
      </c>
      <c r="H68" s="12">
        <v>11351</v>
      </c>
      <c r="I68" s="13">
        <v>0.20669999999999999</v>
      </c>
      <c r="J68" s="13">
        <v>2.8899999999999999E-2</v>
      </c>
      <c r="K68" s="12">
        <f>H68-F68</f>
        <v>9004</v>
      </c>
      <c r="L68" s="25">
        <f>K68/H68</f>
        <v>0.7932340762928376</v>
      </c>
    </row>
    <row r="69" spans="1:12">
      <c r="A69" s="7" t="s">
        <v>9</v>
      </c>
      <c r="B69" s="22" t="s">
        <v>45</v>
      </c>
      <c r="C69" s="11" t="s">
        <v>11</v>
      </c>
      <c r="D69" s="11" t="s">
        <v>58</v>
      </c>
      <c r="E69" s="11">
        <v>50</v>
      </c>
      <c r="F69" s="12">
        <v>2347</v>
      </c>
      <c r="G69" s="12">
        <v>2312</v>
      </c>
      <c r="H69" s="12">
        <v>11351</v>
      </c>
      <c r="I69" s="13">
        <v>0.20669999999999999</v>
      </c>
      <c r="J69" s="13">
        <v>2.1600000000000001E-2</v>
      </c>
      <c r="K69" s="12">
        <f>H69-F69</f>
        <v>9004</v>
      </c>
      <c r="L69" s="25">
        <f>K69/H69</f>
        <v>0.7932340762928376</v>
      </c>
    </row>
    <row r="70" spans="1:12">
      <c r="A70" s="7" t="s">
        <v>9</v>
      </c>
      <c r="B70" s="22" t="s">
        <v>45</v>
      </c>
      <c r="C70" s="11" t="s">
        <v>11</v>
      </c>
      <c r="D70" s="11" t="s">
        <v>95</v>
      </c>
      <c r="E70" s="11">
        <v>42</v>
      </c>
      <c r="F70" s="12">
        <v>2347</v>
      </c>
      <c r="G70" s="12">
        <v>2312</v>
      </c>
      <c r="H70" s="12">
        <v>11351</v>
      </c>
      <c r="I70" s="13">
        <v>0.20669999999999999</v>
      </c>
      <c r="J70" s="13">
        <v>1.8100000000000002E-2</v>
      </c>
      <c r="K70" s="12">
        <f>H70-F70</f>
        <v>9004</v>
      </c>
      <c r="L70" s="25">
        <f>K70/H70</f>
        <v>0.7932340762928376</v>
      </c>
    </row>
    <row r="71" spans="1:12">
      <c r="A71" s="7" t="s">
        <v>9</v>
      </c>
      <c r="B71" s="22" t="s">
        <v>45</v>
      </c>
      <c r="C71" s="11" t="s">
        <v>11</v>
      </c>
      <c r="D71" s="11" t="s">
        <v>96</v>
      </c>
      <c r="E71" s="11">
        <v>13</v>
      </c>
      <c r="F71" s="12">
        <v>2347</v>
      </c>
      <c r="G71" s="12">
        <v>2312</v>
      </c>
      <c r="H71" s="12">
        <v>11351</v>
      </c>
      <c r="I71" s="13">
        <v>0.20669999999999999</v>
      </c>
      <c r="J71" s="13">
        <v>5.5999999999999999E-3</v>
      </c>
      <c r="K71" s="12">
        <f>H71-F71</f>
        <v>9004</v>
      </c>
      <c r="L71" s="25">
        <f>K71/H71</f>
        <v>0.7932340762928376</v>
      </c>
    </row>
    <row r="72" spans="1:12">
      <c r="A72" s="7" t="s">
        <v>9</v>
      </c>
      <c r="B72" s="21" t="s">
        <v>97</v>
      </c>
      <c r="C72" s="7" t="s">
        <v>18</v>
      </c>
      <c r="D72" s="7" t="s">
        <v>98</v>
      </c>
      <c r="E72" s="7">
        <v>333</v>
      </c>
      <c r="F72" s="8">
        <v>1335</v>
      </c>
      <c r="G72" s="8">
        <v>1110</v>
      </c>
      <c r="H72" s="8">
        <v>7425</v>
      </c>
      <c r="I72" s="9">
        <v>0.1797</v>
      </c>
      <c r="J72" s="9">
        <v>0.3</v>
      </c>
      <c r="K72" s="8">
        <f>H72-F72</f>
        <v>6090</v>
      </c>
      <c r="L72" s="26">
        <f>K72/H72</f>
        <v>0.82020202020202015</v>
      </c>
    </row>
    <row r="73" spans="1:12">
      <c r="A73" s="7" t="s">
        <v>9</v>
      </c>
      <c r="B73" s="21" t="s">
        <v>97</v>
      </c>
      <c r="C73" s="7" t="s">
        <v>18</v>
      </c>
      <c r="D73" s="7" t="s">
        <v>42</v>
      </c>
      <c r="E73" s="7">
        <v>204</v>
      </c>
      <c r="F73" s="8">
        <v>1335</v>
      </c>
      <c r="G73" s="8">
        <v>1110</v>
      </c>
      <c r="H73" s="8">
        <v>7425</v>
      </c>
      <c r="I73" s="9">
        <v>0.1797</v>
      </c>
      <c r="J73" s="9">
        <v>0.1837</v>
      </c>
      <c r="K73" s="8">
        <f>H73-F73</f>
        <v>6090</v>
      </c>
      <c r="L73" s="26">
        <f>K73/H73</f>
        <v>0.82020202020202015</v>
      </c>
    </row>
    <row r="74" spans="1:12">
      <c r="A74" s="7" t="s">
        <v>9</v>
      </c>
      <c r="B74" s="21" t="s">
        <v>97</v>
      </c>
      <c r="C74" s="7" t="s">
        <v>18</v>
      </c>
      <c r="D74" s="7" t="s">
        <v>39</v>
      </c>
      <c r="E74" s="7">
        <v>139</v>
      </c>
      <c r="F74" s="8">
        <v>1335</v>
      </c>
      <c r="G74" s="8">
        <v>1110</v>
      </c>
      <c r="H74" s="8">
        <v>7425</v>
      </c>
      <c r="I74" s="9">
        <v>0.1797</v>
      </c>
      <c r="J74" s="9">
        <v>0.12520000000000001</v>
      </c>
      <c r="K74" s="8">
        <f>H74-F74</f>
        <v>6090</v>
      </c>
      <c r="L74" s="26">
        <f>K74/H74</f>
        <v>0.82020202020202015</v>
      </c>
    </row>
    <row r="75" spans="1:12">
      <c r="A75" s="7" t="s">
        <v>9</v>
      </c>
      <c r="B75" s="21" t="s">
        <v>97</v>
      </c>
      <c r="C75" s="7" t="s">
        <v>18</v>
      </c>
      <c r="D75" s="7" t="s">
        <v>69</v>
      </c>
      <c r="E75" s="7">
        <v>92</v>
      </c>
      <c r="F75" s="8">
        <v>1335</v>
      </c>
      <c r="G75" s="8">
        <v>1110</v>
      </c>
      <c r="H75" s="8">
        <v>7425</v>
      </c>
      <c r="I75" s="9">
        <v>0.1797</v>
      </c>
      <c r="J75" s="9">
        <v>8.2799999999999999E-2</v>
      </c>
      <c r="K75" s="8">
        <f>H75-F75</f>
        <v>6090</v>
      </c>
      <c r="L75" s="26">
        <f>K75/H75</f>
        <v>0.82020202020202015</v>
      </c>
    </row>
    <row r="76" spans="1:12">
      <c r="A76" s="7" t="s">
        <v>9</v>
      </c>
      <c r="B76" s="21" t="s">
        <v>97</v>
      </c>
      <c r="C76" s="7" t="s">
        <v>18</v>
      </c>
      <c r="D76" s="7" t="s">
        <v>99</v>
      </c>
      <c r="E76" s="7">
        <v>77</v>
      </c>
      <c r="F76" s="8">
        <v>1335</v>
      </c>
      <c r="G76" s="8">
        <v>1110</v>
      </c>
      <c r="H76" s="8">
        <v>7425</v>
      </c>
      <c r="I76" s="9">
        <v>0.1797</v>
      </c>
      <c r="J76" s="9">
        <v>6.93E-2</v>
      </c>
      <c r="K76" s="8">
        <f>H76-F76</f>
        <v>6090</v>
      </c>
      <c r="L76" s="26">
        <f>K76/H76</f>
        <v>0.82020202020202015</v>
      </c>
    </row>
    <row r="77" spans="1:12">
      <c r="A77" s="7" t="s">
        <v>9</v>
      </c>
      <c r="B77" s="21" t="s">
        <v>97</v>
      </c>
      <c r="C77" s="7" t="s">
        <v>18</v>
      </c>
      <c r="D77" s="7" t="s">
        <v>100</v>
      </c>
      <c r="E77" s="7">
        <v>69</v>
      </c>
      <c r="F77" s="8">
        <v>1335</v>
      </c>
      <c r="G77" s="8">
        <v>1110</v>
      </c>
      <c r="H77" s="8">
        <v>7425</v>
      </c>
      <c r="I77" s="9">
        <v>0.1797</v>
      </c>
      <c r="J77" s="9">
        <v>6.2100000000000002E-2</v>
      </c>
      <c r="K77" s="8">
        <f>H77-F77</f>
        <v>6090</v>
      </c>
      <c r="L77" s="26">
        <f>K77/H77</f>
        <v>0.82020202020202015</v>
      </c>
    </row>
    <row r="78" spans="1:12">
      <c r="A78" s="7" t="s">
        <v>9</v>
      </c>
      <c r="B78" s="21" t="s">
        <v>97</v>
      </c>
      <c r="C78" s="7" t="s">
        <v>18</v>
      </c>
      <c r="D78" s="7" t="s">
        <v>101</v>
      </c>
      <c r="E78" s="7">
        <v>67</v>
      </c>
      <c r="F78" s="8">
        <v>1335</v>
      </c>
      <c r="G78" s="8">
        <v>1110</v>
      </c>
      <c r="H78" s="8">
        <v>7425</v>
      </c>
      <c r="I78" s="9">
        <v>0.1797</v>
      </c>
      <c r="J78" s="9">
        <v>6.0299999999999999E-2</v>
      </c>
      <c r="K78" s="8">
        <f>H78-F78</f>
        <v>6090</v>
      </c>
      <c r="L78" s="26">
        <f>K78/H78</f>
        <v>0.82020202020202015</v>
      </c>
    </row>
    <row r="79" spans="1:12">
      <c r="A79" s="7" t="s">
        <v>9</v>
      </c>
      <c r="B79" s="21" t="s">
        <v>97</v>
      </c>
      <c r="C79" s="7" t="s">
        <v>18</v>
      </c>
      <c r="D79" s="7" t="s">
        <v>102</v>
      </c>
      <c r="E79" s="7">
        <v>52</v>
      </c>
      <c r="F79" s="8">
        <v>1335</v>
      </c>
      <c r="G79" s="8">
        <v>1110</v>
      </c>
      <c r="H79" s="8">
        <v>7425</v>
      </c>
      <c r="I79" s="9">
        <v>0.1797</v>
      </c>
      <c r="J79" s="9">
        <v>4.6800000000000001E-2</v>
      </c>
      <c r="K79" s="8">
        <f>H79-F79</f>
        <v>6090</v>
      </c>
      <c r="L79" s="26">
        <f>K79/H79</f>
        <v>0.82020202020202015</v>
      </c>
    </row>
    <row r="80" spans="1:12">
      <c r="A80" s="7" t="s">
        <v>9</v>
      </c>
      <c r="B80" s="21" t="s">
        <v>97</v>
      </c>
      <c r="C80" s="7" t="s">
        <v>18</v>
      </c>
      <c r="D80" s="7" t="s">
        <v>103</v>
      </c>
      <c r="E80" s="7">
        <v>29</v>
      </c>
      <c r="F80" s="8">
        <v>1335</v>
      </c>
      <c r="G80" s="8">
        <v>1110</v>
      </c>
      <c r="H80" s="8">
        <v>7425</v>
      </c>
      <c r="I80" s="9">
        <v>0.1797</v>
      </c>
      <c r="J80" s="9">
        <v>2.6100000000000002E-2</v>
      </c>
      <c r="K80" s="8">
        <f>H80-F80</f>
        <v>6090</v>
      </c>
      <c r="L80" s="26">
        <f>K80/H80</f>
        <v>0.82020202020202015</v>
      </c>
    </row>
    <row r="81" spans="1:12">
      <c r="A81" s="7" t="s">
        <v>9</v>
      </c>
      <c r="B81" s="21" t="s">
        <v>97</v>
      </c>
      <c r="C81" s="7" t="s">
        <v>18</v>
      </c>
      <c r="D81" s="7" t="s">
        <v>104</v>
      </c>
      <c r="E81" s="7">
        <v>27</v>
      </c>
      <c r="F81" s="8">
        <v>1335</v>
      </c>
      <c r="G81" s="8">
        <v>1110</v>
      </c>
      <c r="H81" s="8">
        <v>7425</v>
      </c>
      <c r="I81" s="9">
        <v>0.1797</v>
      </c>
      <c r="J81" s="9">
        <v>2.4299999999999999E-2</v>
      </c>
      <c r="K81" s="8">
        <f>H81-F81</f>
        <v>6090</v>
      </c>
      <c r="L81" s="26">
        <f>K81/H81</f>
        <v>0.82020202020202015</v>
      </c>
    </row>
    <row r="82" spans="1:12">
      <c r="A82" s="7" t="s">
        <v>9</v>
      </c>
      <c r="B82" s="21" t="s">
        <v>97</v>
      </c>
      <c r="C82" s="7" t="s">
        <v>18</v>
      </c>
      <c r="D82" s="7" t="s">
        <v>53</v>
      </c>
      <c r="E82" s="7">
        <v>21</v>
      </c>
      <c r="F82" s="8">
        <v>1335</v>
      </c>
      <c r="G82" s="8">
        <v>1110</v>
      </c>
      <c r="H82" s="8">
        <v>7425</v>
      </c>
      <c r="I82" s="9">
        <v>0.1797</v>
      </c>
      <c r="J82" s="9">
        <v>1.89E-2</v>
      </c>
      <c r="K82" s="8">
        <f>H82-F82</f>
        <v>6090</v>
      </c>
      <c r="L82" s="26">
        <f>K82/H82</f>
        <v>0.82020202020202015</v>
      </c>
    </row>
    <row r="83" spans="1:12">
      <c r="A83" s="7" t="s">
        <v>9</v>
      </c>
      <c r="B83" s="21" t="s">
        <v>105</v>
      </c>
      <c r="C83" s="7" t="s">
        <v>19</v>
      </c>
      <c r="D83" s="7" t="s">
        <v>42</v>
      </c>
      <c r="E83" s="7">
        <v>343</v>
      </c>
      <c r="F83" s="8">
        <v>639</v>
      </c>
      <c r="G83" s="8">
        <v>629</v>
      </c>
      <c r="H83" s="8">
        <v>2839</v>
      </c>
      <c r="I83" s="9">
        <v>0.22500000000000001</v>
      </c>
      <c r="J83" s="9">
        <v>0.54530000000000001</v>
      </c>
      <c r="K83" s="8">
        <f>H83-F83</f>
        <v>2200</v>
      </c>
      <c r="L83" s="26">
        <f>K83/H83</f>
        <v>0.77492074674181055</v>
      </c>
    </row>
    <row r="84" spans="1:12">
      <c r="A84" s="7" t="s">
        <v>9</v>
      </c>
      <c r="B84" s="21" t="s">
        <v>105</v>
      </c>
      <c r="C84" s="7" t="s">
        <v>19</v>
      </c>
      <c r="D84" s="9" t="s">
        <v>106</v>
      </c>
      <c r="E84" s="7">
        <v>243</v>
      </c>
      <c r="F84" s="8">
        <v>639</v>
      </c>
      <c r="G84" s="8">
        <v>629</v>
      </c>
      <c r="H84" s="8">
        <v>2839</v>
      </c>
      <c r="I84" s="9">
        <v>0.22500000000000001</v>
      </c>
      <c r="J84" s="9">
        <v>0.38629999999999998</v>
      </c>
      <c r="K84" s="8">
        <f>H84-F84</f>
        <v>2200</v>
      </c>
      <c r="L84" s="26">
        <f>K84/H84</f>
        <v>0.77492074674181055</v>
      </c>
    </row>
    <row r="85" spans="1:12">
      <c r="A85" s="7" t="s">
        <v>9</v>
      </c>
      <c r="B85" s="21" t="s">
        <v>105</v>
      </c>
      <c r="C85" s="7" t="s">
        <v>19</v>
      </c>
      <c r="D85" s="7" t="s">
        <v>70</v>
      </c>
      <c r="E85" s="7">
        <v>43</v>
      </c>
      <c r="F85" s="8">
        <v>639</v>
      </c>
      <c r="G85" s="8">
        <v>629</v>
      </c>
      <c r="H85" s="8">
        <v>2839</v>
      </c>
      <c r="I85" s="9">
        <v>0.22500000000000001</v>
      </c>
      <c r="J85" s="9">
        <v>6.83E-2</v>
      </c>
      <c r="K85" s="8">
        <f>H85-F85</f>
        <v>2200</v>
      </c>
      <c r="L85" s="26">
        <f>K85/H85</f>
        <v>0.77492074674181055</v>
      </c>
    </row>
    <row r="86" spans="1:12">
      <c r="A86" s="7" t="s">
        <v>9</v>
      </c>
      <c r="B86" s="21" t="s">
        <v>107</v>
      </c>
      <c r="C86" s="7" t="s">
        <v>20</v>
      </c>
      <c r="D86" s="7" t="s">
        <v>42</v>
      </c>
      <c r="E86" s="7">
        <v>156</v>
      </c>
      <c r="F86" s="8">
        <v>258</v>
      </c>
      <c r="G86" s="8">
        <v>253</v>
      </c>
      <c r="H86" s="8">
        <v>3083</v>
      </c>
      <c r="I86" s="9">
        <v>8.3599999999999994E-2</v>
      </c>
      <c r="J86" s="9">
        <v>0.61660000000000004</v>
      </c>
      <c r="K86" s="8">
        <f>H86-F86</f>
        <v>2825</v>
      </c>
      <c r="L86" s="26">
        <f>K86/H86</f>
        <v>0.91631527732727858</v>
      </c>
    </row>
    <row r="87" spans="1:12">
      <c r="A87" s="7" t="s">
        <v>9</v>
      </c>
      <c r="B87" s="21" t="s">
        <v>107</v>
      </c>
      <c r="C87" s="7" t="s">
        <v>20</v>
      </c>
      <c r="D87" s="7" t="s">
        <v>108</v>
      </c>
      <c r="E87" s="7">
        <v>70</v>
      </c>
      <c r="F87" s="8">
        <v>258</v>
      </c>
      <c r="G87" s="8">
        <v>253</v>
      </c>
      <c r="H87" s="8">
        <v>3083</v>
      </c>
      <c r="I87" s="9">
        <v>8.3599999999999994E-2</v>
      </c>
      <c r="J87" s="9">
        <v>0.27660000000000001</v>
      </c>
      <c r="K87" s="8">
        <f>H87-F87</f>
        <v>2825</v>
      </c>
      <c r="L87" s="26">
        <f>K87/H87</f>
        <v>0.91631527732727858</v>
      </c>
    </row>
    <row r="88" spans="1:12">
      <c r="A88" s="7" t="s">
        <v>9</v>
      </c>
      <c r="B88" s="21" t="s">
        <v>107</v>
      </c>
      <c r="C88" s="7" t="s">
        <v>20</v>
      </c>
      <c r="D88" s="7" t="s">
        <v>109</v>
      </c>
      <c r="E88" s="7">
        <v>27</v>
      </c>
      <c r="F88" s="8">
        <v>258</v>
      </c>
      <c r="G88" s="8">
        <v>253</v>
      </c>
      <c r="H88" s="8">
        <v>3083</v>
      </c>
      <c r="I88" s="9">
        <v>8.3599999999999994E-2</v>
      </c>
      <c r="J88" s="9">
        <v>0.1067</v>
      </c>
      <c r="K88" s="8">
        <f>H88-F88</f>
        <v>2825</v>
      </c>
      <c r="L88" s="26">
        <f>K88/H88</f>
        <v>0.91631527732727858</v>
      </c>
    </row>
    <row r="89" spans="1:12">
      <c r="A89" s="7" t="s">
        <v>9</v>
      </c>
      <c r="B89" s="21">
        <v>76497</v>
      </c>
      <c r="C89" s="7" t="s">
        <v>21</v>
      </c>
      <c r="D89" s="7" t="s">
        <v>58</v>
      </c>
      <c r="E89" s="7">
        <v>77</v>
      </c>
      <c r="F89" s="8">
        <v>277</v>
      </c>
      <c r="G89" s="8">
        <v>274</v>
      </c>
      <c r="H89" s="8">
        <v>2317</v>
      </c>
      <c r="I89" s="9">
        <v>0.1195</v>
      </c>
      <c r="J89" s="9">
        <v>0.28100000000000003</v>
      </c>
      <c r="K89" s="8">
        <f>H89-F89</f>
        <v>2040</v>
      </c>
      <c r="L89" s="26">
        <f>K89/H89</f>
        <v>0.88044885627967195</v>
      </c>
    </row>
    <row r="90" spans="1:12">
      <c r="A90" s="7" t="s">
        <v>9</v>
      </c>
      <c r="B90" s="21">
        <v>76497</v>
      </c>
      <c r="C90" s="7" t="s">
        <v>21</v>
      </c>
      <c r="D90" s="7" t="s">
        <v>110</v>
      </c>
      <c r="E90" s="7">
        <v>74</v>
      </c>
      <c r="F90" s="8">
        <v>277</v>
      </c>
      <c r="G90" s="8">
        <v>274</v>
      </c>
      <c r="H90" s="8">
        <v>2317</v>
      </c>
      <c r="I90" s="9">
        <v>0.1195</v>
      </c>
      <c r="J90" s="9">
        <v>0.27</v>
      </c>
      <c r="K90" s="8">
        <f>H90-F90</f>
        <v>2040</v>
      </c>
      <c r="L90" s="26">
        <f>K90/H90</f>
        <v>0.88044885627967195</v>
      </c>
    </row>
    <row r="91" spans="1:12">
      <c r="A91" s="7" t="s">
        <v>9</v>
      </c>
      <c r="B91" s="21">
        <v>76497</v>
      </c>
      <c r="C91" s="7" t="s">
        <v>21</v>
      </c>
      <c r="D91" s="7" t="s">
        <v>111</v>
      </c>
      <c r="E91" s="7">
        <v>55</v>
      </c>
      <c r="F91" s="8">
        <v>277</v>
      </c>
      <c r="G91" s="8">
        <v>274</v>
      </c>
      <c r="H91" s="8">
        <v>2317</v>
      </c>
      <c r="I91" s="9">
        <v>0.1195</v>
      </c>
      <c r="J91" s="9">
        <v>0.20069999999999999</v>
      </c>
      <c r="K91" s="8">
        <f>H91-F91</f>
        <v>2040</v>
      </c>
      <c r="L91" s="26">
        <f>K91/H91</f>
        <v>0.88044885627967195</v>
      </c>
    </row>
    <row r="92" spans="1:12">
      <c r="A92" s="7" t="s">
        <v>9</v>
      </c>
      <c r="B92" s="21">
        <v>76497</v>
      </c>
      <c r="C92" s="7" t="s">
        <v>21</v>
      </c>
      <c r="D92" s="7" t="s">
        <v>53</v>
      </c>
      <c r="E92" s="7">
        <v>44</v>
      </c>
      <c r="F92" s="8">
        <v>277</v>
      </c>
      <c r="G92" s="8">
        <v>274</v>
      </c>
      <c r="H92" s="8">
        <v>2317</v>
      </c>
      <c r="I92" s="9">
        <v>0.1195</v>
      </c>
      <c r="J92" s="9">
        <v>0.1605</v>
      </c>
      <c r="K92" s="8">
        <f>H92-F92</f>
        <v>2040</v>
      </c>
      <c r="L92" s="26">
        <f>K92/H92</f>
        <v>0.88044885627967195</v>
      </c>
    </row>
    <row r="93" spans="1:12">
      <c r="A93" s="7" t="s">
        <v>9</v>
      </c>
      <c r="B93" s="21">
        <v>76497</v>
      </c>
      <c r="C93" s="7" t="s">
        <v>21</v>
      </c>
      <c r="D93" s="7" t="s">
        <v>112</v>
      </c>
      <c r="E93" s="7">
        <v>24</v>
      </c>
      <c r="F93" s="8">
        <v>277</v>
      </c>
      <c r="G93" s="8">
        <v>274</v>
      </c>
      <c r="H93" s="8">
        <v>2317</v>
      </c>
      <c r="I93" s="9">
        <v>0.1195</v>
      </c>
      <c r="J93" s="9">
        <v>8.7499999999999994E-2</v>
      </c>
      <c r="K93" s="8">
        <f>H93-F93</f>
        <v>2040</v>
      </c>
      <c r="L93" s="26">
        <f>K93/H93</f>
        <v>0.88044885627967195</v>
      </c>
    </row>
    <row r="94" spans="1:12">
      <c r="A94" s="7" t="s">
        <v>12</v>
      </c>
      <c r="B94" s="21">
        <v>19110</v>
      </c>
      <c r="C94" s="7" t="s">
        <v>22</v>
      </c>
      <c r="D94" s="7" t="s">
        <v>113</v>
      </c>
      <c r="E94" s="7">
        <v>290</v>
      </c>
      <c r="F94" s="8">
        <v>550</v>
      </c>
      <c r="G94" s="8">
        <v>533</v>
      </c>
      <c r="H94" s="8">
        <v>5174</v>
      </c>
      <c r="I94" s="9">
        <v>0.10630000000000001</v>
      </c>
      <c r="J94" s="9">
        <v>0.54400000000000004</v>
      </c>
      <c r="K94" s="8">
        <f>H94-F94</f>
        <v>4624</v>
      </c>
      <c r="L94" s="26">
        <f>K94/H94</f>
        <v>0.89369926555856205</v>
      </c>
    </row>
    <row r="95" spans="1:12">
      <c r="A95" s="7" t="s">
        <v>12</v>
      </c>
      <c r="B95" s="21">
        <v>19110</v>
      </c>
      <c r="C95" s="7" t="s">
        <v>22</v>
      </c>
      <c r="D95" s="7" t="s">
        <v>114</v>
      </c>
      <c r="E95" s="7">
        <v>139</v>
      </c>
      <c r="F95" s="8">
        <v>550</v>
      </c>
      <c r="G95" s="8">
        <v>533</v>
      </c>
      <c r="H95" s="8">
        <v>5174</v>
      </c>
      <c r="I95" s="9">
        <v>0.10630000000000001</v>
      </c>
      <c r="J95" s="9">
        <v>0.26069999999999999</v>
      </c>
      <c r="K95" s="8">
        <f>H95-F95</f>
        <v>4624</v>
      </c>
      <c r="L95" s="26">
        <f>K95/H95</f>
        <v>0.89369926555856205</v>
      </c>
    </row>
    <row r="96" spans="1:12">
      <c r="A96" s="7" t="s">
        <v>12</v>
      </c>
      <c r="B96" s="21">
        <v>19110</v>
      </c>
      <c r="C96" s="7" t="s">
        <v>22</v>
      </c>
      <c r="D96" s="9" t="s">
        <v>88</v>
      </c>
      <c r="E96" s="7">
        <v>56</v>
      </c>
      <c r="F96" s="8">
        <v>550</v>
      </c>
      <c r="G96" s="8">
        <v>533</v>
      </c>
      <c r="H96" s="8">
        <v>5174</v>
      </c>
      <c r="I96" s="9">
        <v>0.10630000000000001</v>
      </c>
      <c r="J96" s="9">
        <v>0.105</v>
      </c>
      <c r="K96" s="8">
        <f>H96-F96</f>
        <v>4624</v>
      </c>
      <c r="L96" s="26">
        <f>K96/H96</f>
        <v>0.89369926555856205</v>
      </c>
    </row>
    <row r="97" spans="1:12">
      <c r="A97" s="7" t="s">
        <v>12</v>
      </c>
      <c r="B97" s="21">
        <v>19110</v>
      </c>
      <c r="C97" s="7" t="s">
        <v>22</v>
      </c>
      <c r="D97" s="7" t="s">
        <v>115</v>
      </c>
      <c r="E97" s="7">
        <v>48</v>
      </c>
      <c r="F97" s="8">
        <v>550</v>
      </c>
      <c r="G97" s="8">
        <v>533</v>
      </c>
      <c r="H97" s="8">
        <v>5174</v>
      </c>
      <c r="I97" s="9">
        <v>0.10630000000000001</v>
      </c>
      <c r="J97" s="9">
        <v>0.09</v>
      </c>
      <c r="K97" s="8">
        <f>H97-F97</f>
        <v>4624</v>
      </c>
      <c r="L97" s="26">
        <f>K97/H97</f>
        <v>0.89369926555856205</v>
      </c>
    </row>
    <row r="98" spans="1:12">
      <c r="A98" s="7" t="s">
        <v>12</v>
      </c>
      <c r="B98" s="21">
        <v>19137</v>
      </c>
      <c r="C98" s="7" t="s">
        <v>23</v>
      </c>
      <c r="D98" s="7" t="s">
        <v>116</v>
      </c>
      <c r="E98" s="7">
        <v>252</v>
      </c>
      <c r="F98" s="8">
        <v>754</v>
      </c>
      <c r="G98" s="8">
        <v>730</v>
      </c>
      <c r="H98" s="8">
        <v>9678</v>
      </c>
      <c r="I98" s="9">
        <v>7.7899999999999997E-2</v>
      </c>
      <c r="J98" s="9">
        <v>0.34520000000000001</v>
      </c>
      <c r="K98" s="8">
        <f>H98-F98</f>
        <v>8924</v>
      </c>
      <c r="L98" s="26">
        <f>K98/H98</f>
        <v>0.92209134118619551</v>
      </c>
    </row>
    <row r="99" spans="1:12">
      <c r="A99" s="7" t="s">
        <v>12</v>
      </c>
      <c r="B99" s="21">
        <v>19137</v>
      </c>
      <c r="C99" s="7" t="s">
        <v>23</v>
      </c>
      <c r="D99" s="7" t="s">
        <v>117</v>
      </c>
      <c r="E99" s="8">
        <v>230</v>
      </c>
      <c r="F99" s="8">
        <v>754</v>
      </c>
      <c r="G99" s="8">
        <v>730</v>
      </c>
      <c r="H99" s="8">
        <v>9678</v>
      </c>
      <c r="I99" s="9">
        <v>7.7899999999999997E-2</v>
      </c>
      <c r="J99" s="9">
        <v>0.315</v>
      </c>
      <c r="K99" s="8">
        <f>H99-F99</f>
        <v>8924</v>
      </c>
      <c r="L99" s="26">
        <f>K99/H99</f>
        <v>0.92209134118619551</v>
      </c>
    </row>
    <row r="100" spans="1:12">
      <c r="A100" s="7" t="s">
        <v>12</v>
      </c>
      <c r="B100" s="21">
        <v>19137</v>
      </c>
      <c r="C100" s="7" t="s">
        <v>23</v>
      </c>
      <c r="D100" s="7" t="s">
        <v>118</v>
      </c>
      <c r="E100" s="8">
        <v>109</v>
      </c>
      <c r="F100" s="8">
        <v>754</v>
      </c>
      <c r="G100" s="8">
        <v>730</v>
      </c>
      <c r="H100" s="8">
        <v>9678</v>
      </c>
      <c r="I100" s="9">
        <v>7.7899999999999997E-2</v>
      </c>
      <c r="J100" s="9">
        <v>0.14929999999999999</v>
      </c>
      <c r="K100" s="8">
        <f>H100-F100</f>
        <v>8924</v>
      </c>
      <c r="L100" s="26">
        <f>K100/H100</f>
        <v>0.92209134118619551</v>
      </c>
    </row>
    <row r="101" spans="1:12">
      <c r="A101" s="7" t="s">
        <v>12</v>
      </c>
      <c r="B101" s="21">
        <v>19137</v>
      </c>
      <c r="C101" s="7" t="s">
        <v>23</v>
      </c>
      <c r="D101" s="7" t="s">
        <v>119</v>
      </c>
      <c r="E101" s="7">
        <v>48</v>
      </c>
      <c r="F101" s="8">
        <v>754</v>
      </c>
      <c r="G101" s="8">
        <v>730</v>
      </c>
      <c r="H101" s="8">
        <v>9678</v>
      </c>
      <c r="I101" s="9">
        <v>7.7899999999999997E-2</v>
      </c>
      <c r="J101" s="9">
        <v>6.5699999999999995E-2</v>
      </c>
      <c r="K101" s="8">
        <f>H101-F101</f>
        <v>8924</v>
      </c>
      <c r="L101" s="26">
        <f>K101/H101</f>
        <v>0.92209134118619551</v>
      </c>
    </row>
    <row r="102" spans="1:12">
      <c r="A102" s="7" t="s">
        <v>12</v>
      </c>
      <c r="B102" s="21">
        <v>19137</v>
      </c>
      <c r="C102" s="7" t="s">
        <v>23</v>
      </c>
      <c r="D102" s="9" t="s">
        <v>120</v>
      </c>
      <c r="E102" s="7">
        <v>47</v>
      </c>
      <c r="F102" s="8">
        <v>754</v>
      </c>
      <c r="G102" s="8">
        <v>730</v>
      </c>
      <c r="H102" s="8">
        <v>9678</v>
      </c>
      <c r="I102" s="9">
        <v>7.7899999999999997E-2</v>
      </c>
      <c r="J102" s="9">
        <v>6.4299999999999996E-2</v>
      </c>
      <c r="K102" s="8">
        <f>H102-F102</f>
        <v>8924</v>
      </c>
      <c r="L102" s="26">
        <f>K102/H102</f>
        <v>0.92209134118619551</v>
      </c>
    </row>
    <row r="103" spans="1:12">
      <c r="A103" s="7" t="s">
        <v>12</v>
      </c>
      <c r="B103" s="21">
        <v>19137</v>
      </c>
      <c r="C103" s="7" t="s">
        <v>23</v>
      </c>
      <c r="D103" s="9" t="s">
        <v>121</v>
      </c>
      <c r="E103" s="7">
        <v>44</v>
      </c>
      <c r="F103" s="8">
        <v>754</v>
      </c>
      <c r="G103" s="8">
        <v>730</v>
      </c>
      <c r="H103" s="8">
        <v>9678</v>
      </c>
      <c r="I103" s="9">
        <v>7.7899999999999997E-2</v>
      </c>
      <c r="J103" s="9">
        <v>6.0199999999999997E-2</v>
      </c>
      <c r="K103" s="8">
        <f>H103-F103</f>
        <v>8924</v>
      </c>
      <c r="L103" s="26">
        <f>K103/H103</f>
        <v>0.92209134118619551</v>
      </c>
    </row>
    <row r="104" spans="1:12">
      <c r="A104" s="7" t="s">
        <v>12</v>
      </c>
      <c r="B104" s="21" t="s">
        <v>122</v>
      </c>
      <c r="C104" s="7" t="s">
        <v>24</v>
      </c>
      <c r="D104" s="9" t="s">
        <v>69</v>
      </c>
      <c r="E104" s="7">
        <v>235</v>
      </c>
      <c r="F104" s="8">
        <v>1092</v>
      </c>
      <c r="G104" s="8">
        <v>1061</v>
      </c>
      <c r="H104" s="8">
        <v>6845</v>
      </c>
      <c r="I104" s="9">
        <v>0.1595</v>
      </c>
      <c r="J104" s="9">
        <v>0.22140000000000001</v>
      </c>
      <c r="K104" s="8">
        <f>H104-F104</f>
        <v>5753</v>
      </c>
      <c r="L104" s="26">
        <f>K104/H104</f>
        <v>0.84046749452154856</v>
      </c>
    </row>
    <row r="105" spans="1:12">
      <c r="A105" s="7" t="s">
        <v>12</v>
      </c>
      <c r="B105" s="21" t="s">
        <v>122</v>
      </c>
      <c r="C105" s="7" t="s">
        <v>24</v>
      </c>
      <c r="D105" s="9" t="s">
        <v>82</v>
      </c>
      <c r="E105" s="7">
        <v>194</v>
      </c>
      <c r="F105" s="8">
        <v>1092</v>
      </c>
      <c r="G105" s="8">
        <v>1061</v>
      </c>
      <c r="H105" s="8">
        <v>6845</v>
      </c>
      <c r="I105" s="9">
        <v>0.1595</v>
      </c>
      <c r="J105" s="9">
        <v>0.18279999999999999</v>
      </c>
      <c r="K105" s="8">
        <f>H105-F105</f>
        <v>5753</v>
      </c>
      <c r="L105" s="26">
        <f>K105/H105</f>
        <v>0.84046749452154856</v>
      </c>
    </row>
    <row r="106" spans="1:12">
      <c r="A106" s="7" t="s">
        <v>12</v>
      </c>
      <c r="B106" s="21" t="s">
        <v>122</v>
      </c>
      <c r="C106" s="7" t="s">
        <v>24</v>
      </c>
      <c r="D106" s="9" t="s">
        <v>123</v>
      </c>
      <c r="E106" s="7">
        <v>182</v>
      </c>
      <c r="F106" s="8">
        <v>1092</v>
      </c>
      <c r="G106" s="8">
        <v>1061</v>
      </c>
      <c r="H106" s="8">
        <v>6845</v>
      </c>
      <c r="I106" s="9">
        <v>0.1595</v>
      </c>
      <c r="J106" s="9">
        <v>0.17150000000000001</v>
      </c>
      <c r="K106" s="8">
        <f>H106-F106</f>
        <v>5753</v>
      </c>
      <c r="L106" s="26">
        <f>K106/H106</f>
        <v>0.84046749452154856</v>
      </c>
    </row>
    <row r="107" spans="1:12">
      <c r="A107" s="7" t="s">
        <v>12</v>
      </c>
      <c r="B107" s="21" t="s">
        <v>122</v>
      </c>
      <c r="C107" s="7" t="s">
        <v>24</v>
      </c>
      <c r="D107" s="9" t="s">
        <v>124</v>
      </c>
      <c r="E107" s="7">
        <v>153</v>
      </c>
      <c r="F107" s="8">
        <v>1092</v>
      </c>
      <c r="G107" s="8">
        <v>1061</v>
      </c>
      <c r="H107" s="8">
        <v>6845</v>
      </c>
      <c r="I107" s="9">
        <v>0.1595</v>
      </c>
      <c r="J107" s="9">
        <v>0.14419999999999999</v>
      </c>
      <c r="K107" s="8">
        <f>H107-F107</f>
        <v>5753</v>
      </c>
      <c r="L107" s="26">
        <f>K107/H107</f>
        <v>0.84046749452154856</v>
      </c>
    </row>
    <row r="108" spans="1:12">
      <c r="A108" s="7" t="s">
        <v>12</v>
      </c>
      <c r="B108" s="21" t="s">
        <v>122</v>
      </c>
      <c r="C108" s="7" t="s">
        <v>24</v>
      </c>
      <c r="D108" s="9" t="s">
        <v>53</v>
      </c>
      <c r="E108" s="7">
        <v>134</v>
      </c>
      <c r="F108" s="8">
        <v>1092</v>
      </c>
      <c r="G108" s="8">
        <v>1061</v>
      </c>
      <c r="H108" s="8">
        <v>6845</v>
      </c>
      <c r="I108" s="9">
        <v>0.1595</v>
      </c>
      <c r="J108" s="9">
        <v>0.12620000000000001</v>
      </c>
      <c r="K108" s="8">
        <f>H108-F108</f>
        <v>5753</v>
      </c>
      <c r="L108" s="26">
        <f>K108/H108</f>
        <v>0.84046749452154856</v>
      </c>
    </row>
    <row r="109" spans="1:12">
      <c r="A109" s="7" t="s">
        <v>12</v>
      </c>
      <c r="B109" s="21" t="s">
        <v>122</v>
      </c>
      <c r="C109" s="7" t="s">
        <v>24</v>
      </c>
      <c r="D109" s="9" t="s">
        <v>92</v>
      </c>
      <c r="E109" s="7">
        <v>93</v>
      </c>
      <c r="F109" s="8">
        <v>1092</v>
      </c>
      <c r="G109" s="8">
        <v>1061</v>
      </c>
      <c r="H109" s="8">
        <v>6845</v>
      </c>
      <c r="I109" s="9">
        <v>0.1595</v>
      </c>
      <c r="J109" s="9">
        <v>8.7599999999999997E-2</v>
      </c>
      <c r="K109" s="8">
        <f>H109-F109</f>
        <v>5753</v>
      </c>
      <c r="L109" s="26">
        <f>K109/H109</f>
        <v>0.84046749452154856</v>
      </c>
    </row>
    <row r="110" spans="1:12">
      <c r="A110" s="7" t="s">
        <v>12</v>
      </c>
      <c r="B110" s="21" t="s">
        <v>122</v>
      </c>
      <c r="C110" s="7" t="s">
        <v>24</v>
      </c>
      <c r="D110" s="9" t="s">
        <v>125</v>
      </c>
      <c r="E110" s="7">
        <v>29</v>
      </c>
      <c r="F110" s="8">
        <v>1092</v>
      </c>
      <c r="G110" s="8">
        <v>1061</v>
      </c>
      <c r="H110" s="8">
        <v>6845</v>
      </c>
      <c r="I110" s="9">
        <v>0.1595</v>
      </c>
      <c r="J110" s="9">
        <v>2.7300000000000001E-2</v>
      </c>
      <c r="K110" s="8">
        <f>H110-F110</f>
        <v>5753</v>
      </c>
      <c r="L110" s="26">
        <f>K110/H110</f>
        <v>0.84046749452154856</v>
      </c>
    </row>
    <row r="111" spans="1:12">
      <c r="A111" s="7" t="s">
        <v>12</v>
      </c>
      <c r="B111" s="21" t="s">
        <v>122</v>
      </c>
      <c r="C111" s="7" t="s">
        <v>24</v>
      </c>
      <c r="D111" s="9" t="s">
        <v>126</v>
      </c>
      <c r="E111" s="7">
        <v>22</v>
      </c>
      <c r="F111" s="8">
        <v>1092</v>
      </c>
      <c r="G111" s="8">
        <v>1061</v>
      </c>
      <c r="H111" s="8">
        <v>6845</v>
      </c>
      <c r="I111" s="9">
        <v>0.1595</v>
      </c>
      <c r="J111" s="9">
        <v>2.07E-2</v>
      </c>
      <c r="K111" s="8">
        <f>H111-F111</f>
        <v>5753</v>
      </c>
      <c r="L111" s="26">
        <f>K111/H111</f>
        <v>0.84046749452154856</v>
      </c>
    </row>
    <row r="112" spans="1:12">
      <c r="A112" s="7" t="s">
        <v>12</v>
      </c>
      <c r="B112" s="21" t="s">
        <v>122</v>
      </c>
      <c r="C112" s="7" t="s">
        <v>24</v>
      </c>
      <c r="D112" s="9" t="s">
        <v>88</v>
      </c>
      <c r="E112" s="7">
        <v>19</v>
      </c>
      <c r="F112" s="8">
        <v>1092</v>
      </c>
      <c r="G112" s="8">
        <v>1061</v>
      </c>
      <c r="H112" s="8">
        <v>6845</v>
      </c>
      <c r="I112" s="9">
        <v>0.1595</v>
      </c>
      <c r="J112" s="9">
        <v>1.7899999999999999E-2</v>
      </c>
      <c r="K112" s="8">
        <f>H112-F112</f>
        <v>5753</v>
      </c>
      <c r="L112" s="26">
        <f>K112/H112</f>
        <v>0.84046749452154856</v>
      </c>
    </row>
    <row r="113" spans="1:12">
      <c r="A113" s="7" t="s">
        <v>12</v>
      </c>
      <c r="B113" s="21" t="s">
        <v>127</v>
      </c>
      <c r="C113" s="7" t="s">
        <v>25</v>
      </c>
      <c r="D113" s="9" t="s">
        <v>128</v>
      </c>
      <c r="E113" s="7">
        <v>258</v>
      </c>
      <c r="F113" s="8">
        <v>655</v>
      </c>
      <c r="G113" s="8">
        <v>647</v>
      </c>
      <c r="H113" s="8">
        <v>5394</v>
      </c>
      <c r="I113" s="9">
        <v>0.12139999999999999</v>
      </c>
      <c r="J113" s="9">
        <v>0.3987</v>
      </c>
      <c r="K113" s="8">
        <f>H113-F113</f>
        <v>4739</v>
      </c>
      <c r="L113" s="26">
        <f>K113/H113</f>
        <v>0.87856878012606598</v>
      </c>
    </row>
    <row r="114" spans="1:12">
      <c r="A114" s="7" t="s">
        <v>12</v>
      </c>
      <c r="B114" s="21" t="s">
        <v>127</v>
      </c>
      <c r="C114" s="7" t="s">
        <v>25</v>
      </c>
      <c r="D114" s="9" t="s">
        <v>129</v>
      </c>
      <c r="E114" s="7">
        <v>179</v>
      </c>
      <c r="F114" s="8">
        <v>655</v>
      </c>
      <c r="G114" s="8">
        <v>647</v>
      </c>
      <c r="H114" s="8">
        <v>5394</v>
      </c>
      <c r="I114" s="9">
        <v>0.12139999999999999</v>
      </c>
      <c r="J114" s="9">
        <v>0.27660000000000001</v>
      </c>
      <c r="K114" s="8">
        <f>H114-F114</f>
        <v>4739</v>
      </c>
      <c r="L114" s="26">
        <f>K114/H114</f>
        <v>0.87856878012606598</v>
      </c>
    </row>
    <row r="115" spans="1:12">
      <c r="A115" s="7" t="s">
        <v>12</v>
      </c>
      <c r="B115" s="21" t="s">
        <v>127</v>
      </c>
      <c r="C115" s="7" t="s">
        <v>25</v>
      </c>
      <c r="D115" s="9" t="s">
        <v>130</v>
      </c>
      <c r="E115" s="7">
        <v>78</v>
      </c>
      <c r="F115" s="8">
        <v>655</v>
      </c>
      <c r="G115" s="8">
        <v>647</v>
      </c>
      <c r="H115" s="8">
        <v>5394</v>
      </c>
      <c r="I115" s="9">
        <v>0.12139999999999999</v>
      </c>
      <c r="J115" s="9">
        <v>0.1205</v>
      </c>
      <c r="K115" s="8">
        <f>H115-F115</f>
        <v>4739</v>
      </c>
      <c r="L115" s="26">
        <f>K115/H115</f>
        <v>0.87856878012606598</v>
      </c>
    </row>
    <row r="116" spans="1:12">
      <c r="A116" s="7" t="s">
        <v>12</v>
      </c>
      <c r="B116" s="21" t="s">
        <v>127</v>
      </c>
      <c r="C116" s="7" t="s">
        <v>25</v>
      </c>
      <c r="D116" s="9" t="s">
        <v>53</v>
      </c>
      <c r="E116" s="7">
        <v>73</v>
      </c>
      <c r="F116" s="8">
        <v>655</v>
      </c>
      <c r="G116" s="8">
        <v>647</v>
      </c>
      <c r="H116" s="8">
        <v>5394</v>
      </c>
      <c r="I116" s="9">
        <v>0.12139999999999999</v>
      </c>
      <c r="J116" s="9">
        <v>0.1128</v>
      </c>
      <c r="K116" s="8">
        <f>H116-F116</f>
        <v>4739</v>
      </c>
      <c r="L116" s="26">
        <f>K116/H116</f>
        <v>0.87856878012606598</v>
      </c>
    </row>
    <row r="117" spans="1:12">
      <c r="A117" s="7" t="s">
        <v>12</v>
      </c>
      <c r="B117" s="21" t="s">
        <v>127</v>
      </c>
      <c r="C117" s="7" t="s">
        <v>25</v>
      </c>
      <c r="D117" s="9" t="s">
        <v>131</v>
      </c>
      <c r="E117" s="7">
        <v>59</v>
      </c>
      <c r="F117" s="8">
        <v>655</v>
      </c>
      <c r="G117" s="8">
        <v>647</v>
      </c>
      <c r="H117" s="8">
        <v>5394</v>
      </c>
      <c r="I117" s="9">
        <v>0.12139999999999999</v>
      </c>
      <c r="J117" s="9">
        <v>9.11E-2</v>
      </c>
      <c r="K117" s="8">
        <f>H117-F117</f>
        <v>4739</v>
      </c>
      <c r="L117" s="26">
        <f>K117/H117</f>
        <v>0.87856878012606598</v>
      </c>
    </row>
    <row r="118" spans="1:12">
      <c r="A118" s="7" t="s">
        <v>12</v>
      </c>
      <c r="B118" s="21" t="s">
        <v>132</v>
      </c>
      <c r="C118" s="7" t="s">
        <v>26</v>
      </c>
      <c r="D118" s="9" t="s">
        <v>133</v>
      </c>
      <c r="E118" s="7">
        <v>233</v>
      </c>
      <c r="F118" s="8">
        <v>1010</v>
      </c>
      <c r="G118" s="8">
        <v>996</v>
      </c>
      <c r="H118" s="8">
        <v>4114</v>
      </c>
      <c r="I118" s="9">
        <v>0.2455</v>
      </c>
      <c r="J118" s="9">
        <v>0.2339</v>
      </c>
      <c r="K118" s="8">
        <f>H118-F118</f>
        <v>3104</v>
      </c>
      <c r="L118" s="26">
        <f>K118/H118</f>
        <v>0.75449684005833739</v>
      </c>
    </row>
    <row r="119" spans="1:12">
      <c r="A119" s="7" t="s">
        <v>12</v>
      </c>
      <c r="B119" s="21" t="s">
        <v>132</v>
      </c>
      <c r="C119" s="7" t="s">
        <v>26</v>
      </c>
      <c r="D119" s="9" t="s">
        <v>125</v>
      </c>
      <c r="E119" s="7">
        <v>211</v>
      </c>
      <c r="F119" s="8">
        <v>1010</v>
      </c>
      <c r="G119" s="8">
        <v>996</v>
      </c>
      <c r="H119" s="8">
        <v>4114</v>
      </c>
      <c r="I119" s="9">
        <v>0.2455</v>
      </c>
      <c r="J119" s="9">
        <v>0.21179999999999999</v>
      </c>
      <c r="K119" s="8">
        <f>H119-F119</f>
        <v>3104</v>
      </c>
      <c r="L119" s="26">
        <f>K119/H119</f>
        <v>0.75449684005833739</v>
      </c>
    </row>
    <row r="120" spans="1:12">
      <c r="A120" s="7" t="s">
        <v>12</v>
      </c>
      <c r="B120" s="21" t="s">
        <v>132</v>
      </c>
      <c r="C120" s="7" t="s">
        <v>26</v>
      </c>
      <c r="D120" s="9" t="s">
        <v>40</v>
      </c>
      <c r="E120" s="7">
        <v>143</v>
      </c>
      <c r="F120" s="8">
        <v>1010</v>
      </c>
      <c r="G120" s="8">
        <v>996</v>
      </c>
      <c r="H120" s="8">
        <v>4114</v>
      </c>
      <c r="I120" s="9">
        <v>0.2455</v>
      </c>
      <c r="J120" s="9">
        <v>0.14349999999999999</v>
      </c>
      <c r="K120" s="8">
        <f>H120-F120</f>
        <v>3104</v>
      </c>
      <c r="L120" s="26">
        <f>K120/H120</f>
        <v>0.75449684005833739</v>
      </c>
    </row>
    <row r="121" spans="1:12">
      <c r="A121" s="7" t="s">
        <v>12</v>
      </c>
      <c r="B121" s="21" t="s">
        <v>132</v>
      </c>
      <c r="C121" s="7" t="s">
        <v>26</v>
      </c>
      <c r="D121" s="9" t="s">
        <v>134</v>
      </c>
      <c r="E121" s="7">
        <v>125</v>
      </c>
      <c r="F121" s="8">
        <v>1010</v>
      </c>
      <c r="G121" s="8">
        <v>996</v>
      </c>
      <c r="H121" s="8">
        <v>4114</v>
      </c>
      <c r="I121" s="9">
        <v>0.2455</v>
      </c>
      <c r="J121" s="9">
        <v>0.1255</v>
      </c>
      <c r="K121" s="8">
        <f>H121-F121</f>
        <v>3104</v>
      </c>
      <c r="L121" s="26">
        <f>K121/H121</f>
        <v>0.75449684005833739</v>
      </c>
    </row>
    <row r="122" spans="1:12">
      <c r="A122" s="7" t="s">
        <v>12</v>
      </c>
      <c r="B122" s="21" t="s">
        <v>132</v>
      </c>
      <c r="C122" s="7" t="s">
        <v>26</v>
      </c>
      <c r="D122" s="9" t="s">
        <v>135</v>
      </c>
      <c r="E122" s="7">
        <v>117</v>
      </c>
      <c r="F122" s="8">
        <v>1010</v>
      </c>
      <c r="G122" s="8">
        <v>996</v>
      </c>
      <c r="H122" s="8">
        <v>4114</v>
      </c>
      <c r="I122" s="9">
        <v>0.2455</v>
      </c>
      <c r="J122" s="9">
        <v>0.1174</v>
      </c>
      <c r="K122" s="8">
        <f>H122-F122</f>
        <v>3104</v>
      </c>
      <c r="L122" s="26">
        <f>K122/H122</f>
        <v>0.75449684005833739</v>
      </c>
    </row>
    <row r="123" spans="1:12">
      <c r="A123" s="7" t="s">
        <v>12</v>
      </c>
      <c r="B123" s="21" t="s">
        <v>132</v>
      </c>
      <c r="C123" s="7" t="s">
        <v>26</v>
      </c>
      <c r="D123" s="9" t="s">
        <v>136</v>
      </c>
      <c r="E123" s="7">
        <v>56</v>
      </c>
      <c r="F123" s="8">
        <v>1010</v>
      </c>
      <c r="G123" s="8">
        <v>996</v>
      </c>
      <c r="H123" s="8">
        <v>4114</v>
      </c>
      <c r="I123" s="9">
        <v>0.2455</v>
      </c>
      <c r="J123" s="9">
        <v>5.62E-2</v>
      </c>
      <c r="K123" s="8">
        <f>H123-F123</f>
        <v>3104</v>
      </c>
      <c r="L123" s="26">
        <f>K123/H123</f>
        <v>0.75449684005833739</v>
      </c>
    </row>
    <row r="124" spans="1:12">
      <c r="A124" s="7" t="s">
        <v>12</v>
      </c>
      <c r="B124" s="21" t="s">
        <v>132</v>
      </c>
      <c r="C124" s="7" t="s">
        <v>26</v>
      </c>
      <c r="D124" s="9" t="s">
        <v>137</v>
      </c>
      <c r="E124" s="7">
        <v>53</v>
      </c>
      <c r="F124" s="8">
        <v>1010</v>
      </c>
      <c r="G124" s="8">
        <v>996</v>
      </c>
      <c r="H124" s="8">
        <v>4114</v>
      </c>
      <c r="I124" s="9">
        <v>0.2455</v>
      </c>
      <c r="J124" s="9">
        <v>5.3199999999999997E-2</v>
      </c>
      <c r="K124" s="8">
        <f>H124-F124</f>
        <v>3104</v>
      </c>
      <c r="L124" s="26">
        <f>K124/H124</f>
        <v>0.75449684005833739</v>
      </c>
    </row>
    <row r="125" spans="1:12" s="6" customFormat="1">
      <c r="A125" s="7" t="s">
        <v>12</v>
      </c>
      <c r="B125" s="21" t="s">
        <v>132</v>
      </c>
      <c r="C125" s="7" t="s">
        <v>26</v>
      </c>
      <c r="D125" s="9" t="s">
        <v>69</v>
      </c>
      <c r="E125" s="7">
        <v>35</v>
      </c>
      <c r="F125" s="8">
        <v>1010</v>
      </c>
      <c r="G125" s="8">
        <v>996</v>
      </c>
      <c r="H125" s="8">
        <v>4114</v>
      </c>
      <c r="I125" s="9">
        <v>0.2455</v>
      </c>
      <c r="J125" s="9">
        <v>3.5099999999999999E-2</v>
      </c>
      <c r="K125" s="8">
        <f>H125-F125</f>
        <v>3104</v>
      </c>
      <c r="L125" s="26">
        <f>K125/H125</f>
        <v>0.75449684005833739</v>
      </c>
    </row>
    <row r="126" spans="1:12" s="6" customFormat="1">
      <c r="A126" s="7" t="s">
        <v>12</v>
      </c>
      <c r="B126" s="21" t="s">
        <v>132</v>
      </c>
      <c r="C126" s="7" t="s">
        <v>26</v>
      </c>
      <c r="D126" s="9" t="s">
        <v>53</v>
      </c>
      <c r="E126" s="7">
        <v>23</v>
      </c>
      <c r="F126" s="8">
        <v>1010</v>
      </c>
      <c r="G126" s="8">
        <v>996</v>
      </c>
      <c r="H126" s="8">
        <v>4114</v>
      </c>
      <c r="I126" s="9">
        <v>0.2455</v>
      </c>
      <c r="J126" s="9">
        <v>2.3E-2</v>
      </c>
      <c r="K126" s="8">
        <f>H126-F126</f>
        <v>3104</v>
      </c>
      <c r="L126" s="26">
        <f>K126/H126</f>
        <v>0.75449684005833739</v>
      </c>
    </row>
    <row r="127" spans="1:12" s="6" customFormat="1">
      <c r="A127" s="7" t="s">
        <v>12</v>
      </c>
      <c r="B127" s="21">
        <v>19364</v>
      </c>
      <c r="C127" s="7" t="s">
        <v>27</v>
      </c>
      <c r="D127" s="9" t="s">
        <v>138</v>
      </c>
      <c r="E127" s="7">
        <v>297</v>
      </c>
      <c r="F127" s="8">
        <v>454</v>
      </c>
      <c r="G127" s="8">
        <v>448</v>
      </c>
      <c r="H127" s="8">
        <v>3635</v>
      </c>
      <c r="I127" s="9">
        <v>0.12479999999999999</v>
      </c>
      <c r="J127" s="9">
        <v>0.66290000000000004</v>
      </c>
      <c r="K127" s="8">
        <f>H127-F127</f>
        <v>3181</v>
      </c>
      <c r="L127" s="26">
        <f>K127/H127</f>
        <v>0.87510316368638241</v>
      </c>
    </row>
    <row r="128" spans="1:12" s="6" customFormat="1">
      <c r="A128" s="7" t="s">
        <v>12</v>
      </c>
      <c r="B128" s="21">
        <v>19364</v>
      </c>
      <c r="C128" s="7" t="s">
        <v>27</v>
      </c>
      <c r="D128" s="9" t="s">
        <v>139</v>
      </c>
      <c r="E128" s="7">
        <v>98</v>
      </c>
      <c r="F128" s="8">
        <v>454</v>
      </c>
      <c r="G128" s="8">
        <v>448</v>
      </c>
      <c r="H128" s="8">
        <v>3635</v>
      </c>
      <c r="I128" s="9">
        <v>0.12479999999999999</v>
      </c>
      <c r="J128" s="9">
        <v>0.21870000000000001</v>
      </c>
      <c r="K128" s="8">
        <f>H128-F128</f>
        <v>3181</v>
      </c>
      <c r="L128" s="26">
        <f>K128/H128</f>
        <v>0.87510316368638241</v>
      </c>
    </row>
    <row r="129" spans="1:12">
      <c r="A129" s="7" t="s">
        <v>12</v>
      </c>
      <c r="B129" s="21">
        <v>19364</v>
      </c>
      <c r="C129" s="7" t="s">
        <v>27</v>
      </c>
      <c r="D129" s="9" t="s">
        <v>140</v>
      </c>
      <c r="E129" s="7">
        <v>53</v>
      </c>
      <c r="F129" s="8">
        <v>454</v>
      </c>
      <c r="G129" s="8">
        <v>448</v>
      </c>
      <c r="H129" s="8">
        <v>3635</v>
      </c>
      <c r="I129" s="9">
        <v>0.12479999999999999</v>
      </c>
      <c r="J129" s="9">
        <v>0.1183</v>
      </c>
      <c r="K129" s="8">
        <f>H129-F129</f>
        <v>3181</v>
      </c>
      <c r="L129" s="26">
        <f>K129/H129</f>
        <v>0.87510316368638241</v>
      </c>
    </row>
    <row r="130" spans="1:12">
      <c r="A130" s="7" t="s">
        <v>12</v>
      </c>
      <c r="B130" s="21" t="s">
        <v>51</v>
      </c>
      <c r="C130" s="7" t="s">
        <v>13</v>
      </c>
      <c r="D130" s="9" t="s">
        <v>40</v>
      </c>
      <c r="E130" s="7">
        <v>50</v>
      </c>
      <c r="F130" s="8">
        <v>1139</v>
      </c>
      <c r="G130" s="8">
        <v>1125</v>
      </c>
      <c r="H130" s="8">
        <v>5741</v>
      </c>
      <c r="I130" s="9">
        <v>0.1983</v>
      </c>
      <c r="J130" s="9">
        <v>4.4400000000000002E-2</v>
      </c>
      <c r="K130" s="8">
        <f>H130-F130</f>
        <v>4602</v>
      </c>
      <c r="L130" s="26">
        <f>K130/H130</f>
        <v>0.80160250827381985</v>
      </c>
    </row>
    <row r="131" spans="1:12">
      <c r="A131" s="7" t="s">
        <v>12</v>
      </c>
      <c r="B131" s="21" t="s">
        <v>51</v>
      </c>
      <c r="C131" s="7" t="s">
        <v>13</v>
      </c>
      <c r="D131" s="9" t="s">
        <v>39</v>
      </c>
      <c r="E131" s="7">
        <v>43</v>
      </c>
      <c r="F131" s="8">
        <v>1139</v>
      </c>
      <c r="G131" s="8">
        <v>1125</v>
      </c>
      <c r="H131" s="8">
        <v>5741</v>
      </c>
      <c r="I131" s="9">
        <v>0.1983</v>
      </c>
      <c r="J131" s="9">
        <v>3.8199999999999998E-2</v>
      </c>
      <c r="K131" s="8">
        <f>H131-F131</f>
        <v>4602</v>
      </c>
      <c r="L131" s="26">
        <f>K131/H131</f>
        <v>0.80160250827381985</v>
      </c>
    </row>
    <row r="132" spans="1:12" s="6" customFormat="1">
      <c r="A132" s="7" t="s">
        <v>12</v>
      </c>
      <c r="B132" s="21" t="s">
        <v>51</v>
      </c>
      <c r="C132" s="7" t="s">
        <v>13</v>
      </c>
      <c r="D132" s="9" t="s">
        <v>88</v>
      </c>
      <c r="E132" s="7">
        <v>42</v>
      </c>
      <c r="F132" s="8">
        <v>1139</v>
      </c>
      <c r="G132" s="8">
        <v>1125</v>
      </c>
      <c r="H132" s="8">
        <v>5741</v>
      </c>
      <c r="I132" s="9">
        <v>0.1983</v>
      </c>
      <c r="J132" s="9">
        <v>3.73E-2</v>
      </c>
      <c r="K132" s="8">
        <f>H132-F132</f>
        <v>4602</v>
      </c>
      <c r="L132" s="26">
        <f>K132/H132</f>
        <v>0.80160250827381985</v>
      </c>
    </row>
    <row r="133" spans="1:12">
      <c r="A133" s="7" t="s">
        <v>12</v>
      </c>
      <c r="B133" s="21" t="s">
        <v>51</v>
      </c>
      <c r="C133" s="7" t="s">
        <v>13</v>
      </c>
      <c r="D133" s="9" t="s">
        <v>82</v>
      </c>
      <c r="E133" s="7">
        <v>5</v>
      </c>
      <c r="F133" s="8">
        <v>1139</v>
      </c>
      <c r="G133" s="8">
        <v>1125</v>
      </c>
      <c r="H133" s="8">
        <v>5741</v>
      </c>
      <c r="I133" s="9">
        <v>0.1983</v>
      </c>
      <c r="J133" s="9">
        <v>4.4000000000000003E-3</v>
      </c>
      <c r="K133" s="8">
        <f>H133-F133</f>
        <v>4602</v>
      </c>
      <c r="L133" s="26">
        <f>K133/H133</f>
        <v>0.80160250827381985</v>
      </c>
    </row>
    <row r="134" spans="1:12">
      <c r="A134" s="7" t="s">
        <v>12</v>
      </c>
      <c r="B134" s="21" t="s">
        <v>141</v>
      </c>
      <c r="C134" s="7" t="s">
        <v>28</v>
      </c>
      <c r="D134" s="9" t="s">
        <v>142</v>
      </c>
      <c r="E134" s="7">
        <v>157</v>
      </c>
      <c r="F134" s="8">
        <v>220</v>
      </c>
      <c r="G134" s="8">
        <v>210</v>
      </c>
      <c r="H134" s="8">
        <v>2096</v>
      </c>
      <c r="I134" s="9">
        <v>0.10489999999999999</v>
      </c>
      <c r="J134" s="9">
        <v>0.74760000000000004</v>
      </c>
      <c r="K134" s="8">
        <f>H134-F134</f>
        <v>1876</v>
      </c>
      <c r="L134" s="26">
        <f>K134/H134</f>
        <v>0.89503816793893132</v>
      </c>
    </row>
    <row r="135" spans="1:12">
      <c r="A135" s="7" t="s">
        <v>12</v>
      </c>
      <c r="B135" s="21" t="s">
        <v>141</v>
      </c>
      <c r="C135" s="7" t="s">
        <v>28</v>
      </c>
      <c r="D135" s="9" t="s">
        <v>53</v>
      </c>
      <c r="E135" s="7">
        <v>21</v>
      </c>
      <c r="F135" s="8">
        <v>220</v>
      </c>
      <c r="G135" s="8">
        <v>210</v>
      </c>
      <c r="H135" s="8">
        <v>2096</v>
      </c>
      <c r="I135" s="9">
        <v>0.10489999999999999</v>
      </c>
      <c r="J135" s="9">
        <v>0.1</v>
      </c>
      <c r="K135" s="8">
        <f>H135-F135</f>
        <v>1876</v>
      </c>
      <c r="L135" s="26">
        <f>K135/H135</f>
        <v>0.89503816793893132</v>
      </c>
    </row>
    <row r="136" spans="1:12">
      <c r="A136" s="7" t="s">
        <v>12</v>
      </c>
      <c r="B136" s="21" t="s">
        <v>141</v>
      </c>
      <c r="C136" s="7" t="s">
        <v>28</v>
      </c>
      <c r="D136" s="9" t="s">
        <v>88</v>
      </c>
      <c r="E136" s="7">
        <v>19</v>
      </c>
      <c r="F136" s="8">
        <v>220</v>
      </c>
      <c r="G136" s="8">
        <v>210</v>
      </c>
      <c r="H136" s="8">
        <v>2096</v>
      </c>
      <c r="I136" s="9">
        <v>0.10489999999999999</v>
      </c>
      <c r="J136" s="9">
        <v>9.0399999999999994E-2</v>
      </c>
      <c r="K136" s="8">
        <f>H136-F136</f>
        <v>1876</v>
      </c>
      <c r="L136" s="26">
        <f>K136/H136</f>
        <v>0.89503816793893132</v>
      </c>
    </row>
    <row r="137" spans="1:12">
      <c r="A137" s="7" t="s">
        <v>12</v>
      </c>
      <c r="B137" s="21" t="s">
        <v>141</v>
      </c>
      <c r="C137" s="7" t="s">
        <v>28</v>
      </c>
      <c r="D137" s="9" t="s">
        <v>52</v>
      </c>
      <c r="E137" s="7">
        <v>13</v>
      </c>
      <c r="F137" s="8">
        <v>220</v>
      </c>
      <c r="G137" s="8">
        <v>210</v>
      </c>
      <c r="H137" s="8">
        <v>2096</v>
      </c>
      <c r="I137" s="9">
        <v>0.10489999999999999</v>
      </c>
      <c r="J137" s="9">
        <v>6.1899999999999997E-2</v>
      </c>
      <c r="K137" s="8">
        <f>H137-F137</f>
        <v>1876</v>
      </c>
      <c r="L137" s="26">
        <f>K137/H137</f>
        <v>0.89503816793893132</v>
      </c>
    </row>
    <row r="138" spans="1:12">
      <c r="A138" s="7" t="s">
        <v>12</v>
      </c>
      <c r="B138" s="21" t="s">
        <v>143</v>
      </c>
      <c r="C138" s="7" t="s">
        <v>29</v>
      </c>
      <c r="D138" s="9" t="s">
        <v>63</v>
      </c>
      <c r="E138" s="7">
        <v>519</v>
      </c>
      <c r="F138" s="8">
        <v>1530</v>
      </c>
      <c r="G138" s="8">
        <v>1516</v>
      </c>
      <c r="H138" s="8">
        <v>9273</v>
      </c>
      <c r="I138" s="9">
        <v>0.16489999999999999</v>
      </c>
      <c r="J138" s="9">
        <v>0.34229999999999999</v>
      </c>
      <c r="K138" s="8">
        <f>H138-F138</f>
        <v>7743</v>
      </c>
      <c r="L138" s="26">
        <f>K138/H138</f>
        <v>0.83500485279844705</v>
      </c>
    </row>
    <row r="139" spans="1:12">
      <c r="A139" s="7" t="s">
        <v>12</v>
      </c>
      <c r="B139" s="21" t="s">
        <v>143</v>
      </c>
      <c r="C139" s="7" t="s">
        <v>29</v>
      </c>
      <c r="D139" s="9" t="s">
        <v>144</v>
      </c>
      <c r="E139" s="7">
        <v>342</v>
      </c>
      <c r="F139" s="8">
        <v>1530</v>
      </c>
      <c r="G139" s="8">
        <v>1516</v>
      </c>
      <c r="H139" s="8">
        <v>9273</v>
      </c>
      <c r="I139" s="9">
        <v>0.16489999999999999</v>
      </c>
      <c r="J139" s="9">
        <v>0.22550000000000001</v>
      </c>
      <c r="K139" s="8">
        <f>H139-F139</f>
        <v>7743</v>
      </c>
      <c r="L139" s="26">
        <f>K139/H139</f>
        <v>0.83500485279844705</v>
      </c>
    </row>
    <row r="140" spans="1:12">
      <c r="A140" s="7" t="s">
        <v>12</v>
      </c>
      <c r="B140" s="21" t="s">
        <v>143</v>
      </c>
      <c r="C140" s="7" t="s">
        <v>29</v>
      </c>
      <c r="D140" s="9" t="s">
        <v>52</v>
      </c>
      <c r="E140" s="7">
        <v>201</v>
      </c>
      <c r="F140" s="8">
        <v>1530</v>
      </c>
      <c r="G140" s="8">
        <v>1516</v>
      </c>
      <c r="H140" s="8">
        <v>9273</v>
      </c>
      <c r="I140" s="9">
        <v>0.16489999999999999</v>
      </c>
      <c r="J140" s="9">
        <v>0.13250000000000001</v>
      </c>
      <c r="K140" s="8">
        <f>H140-F140</f>
        <v>7743</v>
      </c>
      <c r="L140" s="26">
        <f>K140/H140</f>
        <v>0.83500485279844705</v>
      </c>
    </row>
    <row r="141" spans="1:12">
      <c r="A141" s="7" t="s">
        <v>12</v>
      </c>
      <c r="B141" s="21" t="s">
        <v>143</v>
      </c>
      <c r="C141" s="7" t="s">
        <v>29</v>
      </c>
      <c r="D141" s="9" t="s">
        <v>145</v>
      </c>
      <c r="E141" s="7">
        <v>173</v>
      </c>
      <c r="F141" s="8">
        <v>1530</v>
      </c>
      <c r="G141" s="8">
        <v>1516</v>
      </c>
      <c r="H141" s="8">
        <v>9273</v>
      </c>
      <c r="I141" s="9">
        <v>0.16489999999999999</v>
      </c>
      <c r="J141" s="9">
        <v>0.11409999999999999</v>
      </c>
      <c r="K141" s="8">
        <f>H141-F141</f>
        <v>7743</v>
      </c>
      <c r="L141" s="26">
        <f>K141/H141</f>
        <v>0.83500485279844705</v>
      </c>
    </row>
    <row r="142" spans="1:12">
      <c r="A142" s="7" t="s">
        <v>12</v>
      </c>
      <c r="B142" s="21" t="s">
        <v>143</v>
      </c>
      <c r="C142" s="7" t="s">
        <v>29</v>
      </c>
      <c r="D142" s="9" t="s">
        <v>146</v>
      </c>
      <c r="E142" s="7">
        <v>103</v>
      </c>
      <c r="F142" s="8">
        <v>1530</v>
      </c>
      <c r="G142" s="8">
        <v>1516</v>
      </c>
      <c r="H142" s="8">
        <v>9273</v>
      </c>
      <c r="I142" s="9">
        <v>0.16489999999999999</v>
      </c>
      <c r="J142" s="9">
        <v>6.7900000000000002E-2</v>
      </c>
      <c r="K142" s="8">
        <f>H142-F142</f>
        <v>7743</v>
      </c>
      <c r="L142" s="26">
        <f>K142/H142</f>
        <v>0.83500485279844705</v>
      </c>
    </row>
    <row r="143" spans="1:12">
      <c r="A143" s="7" t="s">
        <v>12</v>
      </c>
      <c r="B143" s="21" t="s">
        <v>143</v>
      </c>
      <c r="C143" s="7" t="s">
        <v>29</v>
      </c>
      <c r="D143" s="9" t="s">
        <v>147</v>
      </c>
      <c r="E143" s="7">
        <v>51</v>
      </c>
      <c r="F143" s="8">
        <v>1530</v>
      </c>
      <c r="G143" s="8">
        <v>1516</v>
      </c>
      <c r="H143" s="8">
        <v>9273</v>
      </c>
      <c r="I143" s="9">
        <v>0.16489999999999999</v>
      </c>
      <c r="J143" s="9">
        <v>3.3599999999999998E-2</v>
      </c>
      <c r="K143" s="8">
        <f>H143-F143</f>
        <v>7743</v>
      </c>
      <c r="L143" s="26">
        <f>K143/H143</f>
        <v>0.83500485279844705</v>
      </c>
    </row>
    <row r="144" spans="1:12">
      <c r="A144" s="7" t="s">
        <v>12</v>
      </c>
      <c r="B144" s="21" t="s">
        <v>143</v>
      </c>
      <c r="C144" s="7" t="s">
        <v>29</v>
      </c>
      <c r="D144" s="9" t="s">
        <v>53</v>
      </c>
      <c r="E144" s="7">
        <v>50</v>
      </c>
      <c r="F144" s="8">
        <v>1530</v>
      </c>
      <c r="G144" s="8">
        <v>1516</v>
      </c>
      <c r="H144" s="8">
        <v>9273</v>
      </c>
      <c r="I144" s="9">
        <v>0.16489999999999999</v>
      </c>
      <c r="J144" s="9">
        <v>3.2899999999999999E-2</v>
      </c>
      <c r="K144" s="8">
        <f>H144-F144</f>
        <v>7743</v>
      </c>
      <c r="L144" s="26">
        <f>K144/H144</f>
        <v>0.83500485279844705</v>
      </c>
    </row>
    <row r="145" spans="1:12">
      <c r="A145" s="7" t="s">
        <v>12</v>
      </c>
      <c r="B145" s="21" t="s">
        <v>143</v>
      </c>
      <c r="C145" s="7" t="s">
        <v>29</v>
      </c>
      <c r="D145" s="9" t="s">
        <v>148</v>
      </c>
      <c r="E145" s="7">
        <v>22</v>
      </c>
      <c r="F145" s="8">
        <v>1530</v>
      </c>
      <c r="G145" s="8">
        <v>1516</v>
      </c>
      <c r="H145" s="8">
        <v>9273</v>
      </c>
      <c r="I145" s="9">
        <v>0.16489999999999999</v>
      </c>
      <c r="J145" s="9">
        <v>1.4500000000000001E-2</v>
      </c>
      <c r="K145" s="8">
        <f>H145-F145</f>
        <v>7743</v>
      </c>
      <c r="L145" s="26">
        <f>K145/H145</f>
        <v>0.83500485279844705</v>
      </c>
    </row>
    <row r="146" spans="1:12">
      <c r="A146" s="7" t="s">
        <v>12</v>
      </c>
      <c r="B146" s="21" t="s">
        <v>143</v>
      </c>
      <c r="C146" s="7" t="s">
        <v>29</v>
      </c>
      <c r="D146" s="9" t="s">
        <v>149</v>
      </c>
      <c r="E146" s="7">
        <v>20</v>
      </c>
      <c r="F146" s="8">
        <v>1530</v>
      </c>
      <c r="G146" s="8">
        <v>1516</v>
      </c>
      <c r="H146" s="8">
        <v>9273</v>
      </c>
      <c r="I146" s="9">
        <v>0.16489999999999999</v>
      </c>
      <c r="J146" s="9">
        <v>1.3100000000000001E-2</v>
      </c>
      <c r="K146" s="8">
        <f>H146-F146</f>
        <v>7743</v>
      </c>
      <c r="L146" s="26">
        <f>K146/H146</f>
        <v>0.83500485279844705</v>
      </c>
    </row>
    <row r="147" spans="1:12">
      <c r="A147" s="7" t="s">
        <v>12</v>
      </c>
      <c r="B147" s="21" t="s">
        <v>143</v>
      </c>
      <c r="C147" s="7" t="s">
        <v>29</v>
      </c>
      <c r="D147" s="9" t="s">
        <v>88</v>
      </c>
      <c r="E147" s="7">
        <v>16</v>
      </c>
      <c r="F147" s="8">
        <v>1530</v>
      </c>
      <c r="G147" s="8">
        <v>1516</v>
      </c>
      <c r="H147" s="8">
        <v>9273</v>
      </c>
      <c r="I147" s="9">
        <v>0.16489999999999999</v>
      </c>
      <c r="J147" s="9">
        <v>1.0500000000000001E-2</v>
      </c>
      <c r="K147" s="8">
        <f>H147-F147</f>
        <v>7743</v>
      </c>
      <c r="L147" s="26">
        <f>K147/H147</f>
        <v>0.83500485279844705</v>
      </c>
    </row>
    <row r="148" spans="1:12">
      <c r="A148" s="7" t="s">
        <v>12</v>
      </c>
      <c r="B148" s="21" t="s">
        <v>143</v>
      </c>
      <c r="C148" s="7" t="s">
        <v>29</v>
      </c>
      <c r="D148" s="9" t="s">
        <v>150</v>
      </c>
      <c r="E148" s="7">
        <v>11</v>
      </c>
      <c r="F148" s="8">
        <v>1530</v>
      </c>
      <c r="G148" s="8">
        <v>1516</v>
      </c>
      <c r="H148" s="8">
        <v>9273</v>
      </c>
      <c r="I148" s="9">
        <v>0.16489999999999999</v>
      </c>
      <c r="J148" s="9">
        <v>7.1999999999999998E-3</v>
      </c>
      <c r="K148" s="8">
        <f>H148-F148</f>
        <v>7743</v>
      </c>
      <c r="L148" s="26">
        <f>K148/H148</f>
        <v>0.83500485279844705</v>
      </c>
    </row>
    <row r="149" spans="1:12">
      <c r="A149" s="7" t="s">
        <v>12</v>
      </c>
      <c r="B149" s="21" t="s">
        <v>143</v>
      </c>
      <c r="C149" s="7" t="s">
        <v>29</v>
      </c>
      <c r="D149" s="9" t="s">
        <v>85</v>
      </c>
      <c r="E149" s="7">
        <v>8</v>
      </c>
      <c r="F149" s="8">
        <v>1530</v>
      </c>
      <c r="G149" s="8">
        <v>1516</v>
      </c>
      <c r="H149" s="8">
        <v>9273</v>
      </c>
      <c r="I149" s="9">
        <v>0.16489999999999999</v>
      </c>
      <c r="J149" s="9">
        <v>5.1999999999999998E-3</v>
      </c>
      <c r="K149" s="8">
        <f>H149-F149</f>
        <v>7743</v>
      </c>
      <c r="L149" s="26">
        <f>K149/H149</f>
        <v>0.83500485279844705</v>
      </c>
    </row>
    <row r="150" spans="1:12">
      <c r="A150" s="7" t="s">
        <v>12</v>
      </c>
      <c r="B150" s="21" t="s">
        <v>151</v>
      </c>
      <c r="C150" s="7" t="s">
        <v>30</v>
      </c>
      <c r="D150" s="9" t="s">
        <v>88</v>
      </c>
      <c r="E150" s="7">
        <v>558</v>
      </c>
      <c r="F150" s="8">
        <v>3468</v>
      </c>
      <c r="G150" s="8">
        <v>3374</v>
      </c>
      <c r="H150" s="8">
        <v>29651</v>
      </c>
      <c r="I150" s="9">
        <v>0.1169</v>
      </c>
      <c r="J150" s="9">
        <v>0.1653</v>
      </c>
      <c r="K150" s="8">
        <f>H150-F150</f>
        <v>26183</v>
      </c>
      <c r="L150" s="26">
        <f>K150/H150</f>
        <v>0.88303935786314125</v>
      </c>
    </row>
    <row r="151" spans="1:12">
      <c r="A151" s="7" t="s">
        <v>12</v>
      </c>
      <c r="B151" s="21" t="s">
        <v>151</v>
      </c>
      <c r="C151" s="7" t="s">
        <v>30</v>
      </c>
      <c r="D151" s="9" t="s">
        <v>69</v>
      </c>
      <c r="E151" s="7">
        <v>399</v>
      </c>
      <c r="F151" s="8">
        <v>3468</v>
      </c>
      <c r="G151" s="8">
        <v>3374</v>
      </c>
      <c r="H151" s="8">
        <v>29651</v>
      </c>
      <c r="I151" s="9">
        <v>0.1169</v>
      </c>
      <c r="J151" s="9">
        <v>0.1182</v>
      </c>
      <c r="K151" s="8">
        <f>H151-F151</f>
        <v>26183</v>
      </c>
      <c r="L151" s="26">
        <f>K151/H151</f>
        <v>0.88303935786314125</v>
      </c>
    </row>
    <row r="152" spans="1:12">
      <c r="A152" s="7" t="s">
        <v>12</v>
      </c>
      <c r="B152" s="21" t="s">
        <v>151</v>
      </c>
      <c r="C152" s="7" t="s">
        <v>30</v>
      </c>
      <c r="D152" s="9" t="s">
        <v>82</v>
      </c>
      <c r="E152" s="7">
        <v>393</v>
      </c>
      <c r="F152" s="8">
        <v>3468</v>
      </c>
      <c r="G152" s="8">
        <v>3374</v>
      </c>
      <c r="H152" s="8">
        <v>29651</v>
      </c>
      <c r="I152" s="9">
        <v>0.1169</v>
      </c>
      <c r="J152" s="9">
        <v>0.1164</v>
      </c>
      <c r="K152" s="8">
        <f>H152-F152</f>
        <v>26183</v>
      </c>
      <c r="L152" s="26">
        <f>K152/H152</f>
        <v>0.88303935786314125</v>
      </c>
    </row>
    <row r="153" spans="1:12">
      <c r="A153" s="7" t="s">
        <v>12</v>
      </c>
      <c r="B153" s="21" t="s">
        <v>151</v>
      </c>
      <c r="C153" s="7" t="s">
        <v>30</v>
      </c>
      <c r="D153" s="9" t="s">
        <v>152</v>
      </c>
      <c r="E153" s="7">
        <v>374</v>
      </c>
      <c r="F153" s="8">
        <v>3468</v>
      </c>
      <c r="G153" s="8">
        <v>3374</v>
      </c>
      <c r="H153" s="8">
        <v>29651</v>
      </c>
      <c r="I153" s="9">
        <v>0.1169</v>
      </c>
      <c r="J153" s="9">
        <v>0.1108</v>
      </c>
      <c r="K153" s="8">
        <f>H153-F153</f>
        <v>26183</v>
      </c>
      <c r="L153" s="26">
        <f>K153/H153</f>
        <v>0.88303935786314125</v>
      </c>
    </row>
    <row r="154" spans="1:12">
      <c r="A154" s="7" t="s">
        <v>12</v>
      </c>
      <c r="B154" s="21" t="s">
        <v>151</v>
      </c>
      <c r="C154" s="7" t="s">
        <v>30</v>
      </c>
      <c r="D154" s="9" t="s">
        <v>40</v>
      </c>
      <c r="E154" s="7">
        <v>283</v>
      </c>
      <c r="F154" s="8">
        <v>3468</v>
      </c>
      <c r="G154" s="8">
        <v>3374</v>
      </c>
      <c r="H154" s="8">
        <v>29651</v>
      </c>
      <c r="I154" s="9">
        <v>0.1169</v>
      </c>
      <c r="J154" s="9">
        <v>8.3799999999999999E-2</v>
      </c>
      <c r="K154" s="8">
        <f>H154-F154</f>
        <v>26183</v>
      </c>
      <c r="L154" s="26">
        <f>K154/H154</f>
        <v>0.88303935786314125</v>
      </c>
    </row>
    <row r="155" spans="1:12">
      <c r="A155" s="7" t="s">
        <v>12</v>
      </c>
      <c r="B155" s="21" t="s">
        <v>151</v>
      </c>
      <c r="C155" s="7" t="s">
        <v>30</v>
      </c>
      <c r="D155" s="9" t="s">
        <v>153</v>
      </c>
      <c r="E155" s="7">
        <v>259</v>
      </c>
      <c r="F155" s="8">
        <v>3468</v>
      </c>
      <c r="G155" s="8">
        <v>3374</v>
      </c>
      <c r="H155" s="8">
        <v>29651</v>
      </c>
      <c r="I155" s="9">
        <v>0.1169</v>
      </c>
      <c r="J155" s="9">
        <v>7.6700000000000004E-2</v>
      </c>
      <c r="K155" s="8">
        <f>H155-F155</f>
        <v>26183</v>
      </c>
      <c r="L155" s="26">
        <f>K155/H155</f>
        <v>0.88303935786314125</v>
      </c>
    </row>
    <row r="156" spans="1:12">
      <c r="A156" s="7" t="s">
        <v>12</v>
      </c>
      <c r="B156" s="21" t="s">
        <v>151</v>
      </c>
      <c r="C156" s="7" t="s">
        <v>30</v>
      </c>
      <c r="D156" s="9" t="s">
        <v>53</v>
      </c>
      <c r="E156" s="7">
        <v>227</v>
      </c>
      <c r="F156" s="8">
        <v>3468</v>
      </c>
      <c r="G156" s="8">
        <v>3374</v>
      </c>
      <c r="H156" s="8">
        <v>29651</v>
      </c>
      <c r="I156" s="9">
        <v>0.1169</v>
      </c>
      <c r="J156" s="9">
        <v>6.7199999999999996E-2</v>
      </c>
      <c r="K156" s="8">
        <f>H156-F156</f>
        <v>26183</v>
      </c>
      <c r="L156" s="26">
        <f>K156/H156</f>
        <v>0.88303935786314125</v>
      </c>
    </row>
    <row r="157" spans="1:12">
      <c r="A157" s="7" t="s">
        <v>12</v>
      </c>
      <c r="B157" s="21" t="s">
        <v>151</v>
      </c>
      <c r="C157" s="7" t="s">
        <v>30</v>
      </c>
      <c r="D157" s="9" t="s">
        <v>39</v>
      </c>
      <c r="E157" s="7">
        <v>203</v>
      </c>
      <c r="F157" s="8">
        <v>3468</v>
      </c>
      <c r="G157" s="8">
        <v>3374</v>
      </c>
      <c r="H157" s="8">
        <v>29651</v>
      </c>
      <c r="I157" s="9">
        <v>0.1169</v>
      </c>
      <c r="J157" s="9">
        <v>6.0100000000000001E-2</v>
      </c>
      <c r="K157" s="8">
        <f>H157-F157</f>
        <v>26183</v>
      </c>
      <c r="L157" s="26">
        <f>K157/H157</f>
        <v>0.88303935786314125</v>
      </c>
    </row>
    <row r="158" spans="1:12">
      <c r="A158" s="7" t="s">
        <v>12</v>
      </c>
      <c r="B158" s="21" t="s">
        <v>151</v>
      </c>
      <c r="C158" s="7" t="s">
        <v>30</v>
      </c>
      <c r="D158" s="9" t="s">
        <v>154</v>
      </c>
      <c r="E158" s="7">
        <v>142</v>
      </c>
      <c r="F158" s="8">
        <v>3468</v>
      </c>
      <c r="G158" s="8">
        <v>3374</v>
      </c>
      <c r="H158" s="8">
        <v>29651</v>
      </c>
      <c r="I158" s="9">
        <v>0.1169</v>
      </c>
      <c r="J158" s="9">
        <v>4.2000000000000003E-2</v>
      </c>
      <c r="K158" s="8">
        <f>H158-F158</f>
        <v>26183</v>
      </c>
      <c r="L158" s="26">
        <f>K158/H158</f>
        <v>0.88303935786314125</v>
      </c>
    </row>
    <row r="159" spans="1:12">
      <c r="A159" s="7" t="s">
        <v>12</v>
      </c>
      <c r="B159" s="21" t="s">
        <v>151</v>
      </c>
      <c r="C159" s="7" t="s">
        <v>30</v>
      </c>
      <c r="D159" s="9" t="s">
        <v>155</v>
      </c>
      <c r="E159" s="7">
        <v>136</v>
      </c>
      <c r="F159" s="8">
        <v>3468</v>
      </c>
      <c r="G159" s="8">
        <v>3374</v>
      </c>
      <c r="H159" s="8">
        <v>29651</v>
      </c>
      <c r="I159" s="9">
        <v>0.1169</v>
      </c>
      <c r="J159" s="9">
        <v>4.0300000000000002E-2</v>
      </c>
      <c r="K159" s="8">
        <f>H159-F159</f>
        <v>26183</v>
      </c>
      <c r="L159" s="26">
        <f>K159/H159</f>
        <v>0.88303935786314125</v>
      </c>
    </row>
    <row r="160" spans="1:12">
      <c r="A160" s="7" t="s">
        <v>12</v>
      </c>
      <c r="B160" s="21" t="s">
        <v>151</v>
      </c>
      <c r="C160" s="7" t="s">
        <v>30</v>
      </c>
      <c r="D160" s="9" t="s">
        <v>156</v>
      </c>
      <c r="E160" s="7">
        <v>93</v>
      </c>
      <c r="F160" s="8">
        <v>3468</v>
      </c>
      <c r="G160" s="8">
        <v>3374</v>
      </c>
      <c r="H160" s="8">
        <v>29651</v>
      </c>
      <c r="I160" s="9">
        <v>0.1169</v>
      </c>
      <c r="J160" s="9">
        <v>2.75E-2</v>
      </c>
      <c r="K160" s="8">
        <f>H160-F160</f>
        <v>26183</v>
      </c>
      <c r="L160" s="26">
        <f>K160/H160</f>
        <v>0.88303935786314125</v>
      </c>
    </row>
    <row r="161" spans="1:12">
      <c r="A161" s="7" t="s">
        <v>12</v>
      </c>
      <c r="B161" s="21" t="s">
        <v>151</v>
      </c>
      <c r="C161" s="7" t="s">
        <v>30</v>
      </c>
      <c r="D161" s="9" t="s">
        <v>157</v>
      </c>
      <c r="E161" s="7">
        <v>91</v>
      </c>
      <c r="F161" s="8">
        <v>3468</v>
      </c>
      <c r="G161" s="8">
        <v>3374</v>
      </c>
      <c r="H161" s="8">
        <v>29651</v>
      </c>
      <c r="I161" s="9">
        <v>0.1169</v>
      </c>
      <c r="J161" s="9">
        <v>2.69E-2</v>
      </c>
      <c r="K161" s="8">
        <f>H161-F161</f>
        <v>26183</v>
      </c>
      <c r="L161" s="26">
        <f>K161/H161</f>
        <v>0.88303935786314125</v>
      </c>
    </row>
    <row r="162" spans="1:12">
      <c r="A162" s="7" t="s">
        <v>12</v>
      </c>
      <c r="B162" s="21" t="s">
        <v>151</v>
      </c>
      <c r="C162" s="7" t="s">
        <v>30</v>
      </c>
      <c r="D162" s="9" t="s">
        <v>61</v>
      </c>
      <c r="E162" s="7">
        <v>84</v>
      </c>
      <c r="F162" s="8">
        <v>3468</v>
      </c>
      <c r="G162" s="8">
        <v>3374</v>
      </c>
      <c r="H162" s="8">
        <v>29651</v>
      </c>
      <c r="I162" s="9">
        <v>0.1169</v>
      </c>
      <c r="J162" s="9">
        <v>2.4799999999999999E-2</v>
      </c>
      <c r="K162" s="8">
        <f>H162-F162</f>
        <v>26183</v>
      </c>
      <c r="L162" s="26">
        <f>K162/H162</f>
        <v>0.88303935786314125</v>
      </c>
    </row>
    <row r="163" spans="1:12">
      <c r="A163" s="7" t="s">
        <v>12</v>
      </c>
      <c r="B163" s="21" t="s">
        <v>151</v>
      </c>
      <c r="C163" s="7" t="s">
        <v>30</v>
      </c>
      <c r="D163" s="9" t="s">
        <v>52</v>
      </c>
      <c r="E163" s="7">
        <v>77</v>
      </c>
      <c r="F163" s="8">
        <v>3468</v>
      </c>
      <c r="G163" s="8">
        <v>3374</v>
      </c>
      <c r="H163" s="8">
        <v>29651</v>
      </c>
      <c r="I163" s="9">
        <v>0.1169</v>
      </c>
      <c r="J163" s="9">
        <v>2.2800000000000001E-2</v>
      </c>
      <c r="K163" s="8">
        <f>H163-F163</f>
        <v>26183</v>
      </c>
      <c r="L163" s="26">
        <f>K163/H163</f>
        <v>0.88303935786314125</v>
      </c>
    </row>
    <row r="164" spans="1:12">
      <c r="A164" s="7" t="s">
        <v>12</v>
      </c>
      <c r="B164" s="21" t="s">
        <v>151</v>
      </c>
      <c r="C164" s="7" t="s">
        <v>30</v>
      </c>
      <c r="D164" s="9" t="s">
        <v>158</v>
      </c>
      <c r="E164" s="7">
        <v>44</v>
      </c>
      <c r="F164" s="8">
        <v>3468</v>
      </c>
      <c r="G164" s="8">
        <v>3374</v>
      </c>
      <c r="H164" s="8">
        <v>29651</v>
      </c>
      <c r="I164" s="9">
        <v>0.1169</v>
      </c>
      <c r="J164" s="9">
        <v>1.2999999999999999E-2</v>
      </c>
      <c r="K164" s="8">
        <f>H164-F164</f>
        <v>26183</v>
      </c>
      <c r="L164" s="26">
        <f>K164/H164</f>
        <v>0.88303935786314125</v>
      </c>
    </row>
    <row r="165" spans="1:12">
      <c r="A165" s="7" t="s">
        <v>12</v>
      </c>
      <c r="B165" s="21" t="s">
        <v>151</v>
      </c>
      <c r="C165" s="7" t="s">
        <v>30</v>
      </c>
      <c r="D165" s="9" t="s">
        <v>148</v>
      </c>
      <c r="E165" s="7">
        <v>11</v>
      </c>
      <c r="F165" s="8">
        <v>3468</v>
      </c>
      <c r="G165" s="8">
        <v>3374</v>
      </c>
      <c r="H165" s="8">
        <v>29651</v>
      </c>
      <c r="I165" s="9">
        <v>0.1169</v>
      </c>
      <c r="J165" s="9">
        <v>3.2000000000000002E-3</v>
      </c>
      <c r="K165" s="8">
        <f>H165-F165</f>
        <v>26183</v>
      </c>
      <c r="L165" s="26">
        <f>K165/H165</f>
        <v>0.88303935786314125</v>
      </c>
    </row>
    <row r="166" spans="1:12">
      <c r="A166" s="7" t="s">
        <v>12</v>
      </c>
      <c r="B166" s="21" t="s">
        <v>159</v>
      </c>
      <c r="C166" s="7" t="s">
        <v>31</v>
      </c>
      <c r="D166" s="9" t="s">
        <v>160</v>
      </c>
      <c r="E166" s="7">
        <v>217</v>
      </c>
      <c r="F166" s="8">
        <v>493</v>
      </c>
      <c r="G166" s="8">
        <v>474</v>
      </c>
      <c r="H166" s="8">
        <v>5923</v>
      </c>
      <c r="I166" s="9">
        <v>8.3199999999999996E-2</v>
      </c>
      <c r="J166" s="9">
        <v>0.45779999999999998</v>
      </c>
      <c r="K166" s="8">
        <f>H166-F166</f>
        <v>5430</v>
      </c>
      <c r="L166" s="26">
        <f>K166/H166</f>
        <v>0.91676515279419213</v>
      </c>
    </row>
    <row r="167" spans="1:12">
      <c r="A167" s="7" t="s">
        <v>12</v>
      </c>
      <c r="B167" s="21" t="s">
        <v>159</v>
      </c>
      <c r="C167" s="7" t="s">
        <v>31</v>
      </c>
      <c r="D167" s="9" t="s">
        <v>161</v>
      </c>
      <c r="E167" s="7">
        <v>86</v>
      </c>
      <c r="F167" s="8">
        <v>493</v>
      </c>
      <c r="G167" s="8">
        <v>474</v>
      </c>
      <c r="H167" s="8">
        <v>5923</v>
      </c>
      <c r="I167" s="9">
        <v>8.3199999999999996E-2</v>
      </c>
      <c r="J167" s="9">
        <v>0.18140000000000001</v>
      </c>
      <c r="K167" s="8">
        <f>H167-F167</f>
        <v>5430</v>
      </c>
      <c r="L167" s="26">
        <f>K167/H167</f>
        <v>0.91676515279419213</v>
      </c>
    </row>
    <row r="168" spans="1:12">
      <c r="A168" s="7" t="s">
        <v>12</v>
      </c>
      <c r="B168" s="21" t="s">
        <v>159</v>
      </c>
      <c r="C168" s="7" t="s">
        <v>31</v>
      </c>
      <c r="D168" s="9" t="s">
        <v>162</v>
      </c>
      <c r="E168" s="7">
        <v>62</v>
      </c>
      <c r="F168" s="8">
        <v>493</v>
      </c>
      <c r="G168" s="8">
        <v>474</v>
      </c>
      <c r="H168" s="8">
        <v>5923</v>
      </c>
      <c r="I168" s="9">
        <v>8.3199999999999996E-2</v>
      </c>
      <c r="J168" s="9">
        <v>0.1308</v>
      </c>
      <c r="K168" s="8">
        <f>H168-F168</f>
        <v>5430</v>
      </c>
      <c r="L168" s="26">
        <f>K168/H168</f>
        <v>0.91676515279419213</v>
      </c>
    </row>
    <row r="169" spans="1:12">
      <c r="A169" s="7" t="s">
        <v>12</v>
      </c>
      <c r="B169" s="21" t="s">
        <v>159</v>
      </c>
      <c r="C169" s="7" t="s">
        <v>31</v>
      </c>
      <c r="D169" s="9" t="s">
        <v>163</v>
      </c>
      <c r="E169" s="7">
        <v>46</v>
      </c>
      <c r="F169" s="8">
        <v>493</v>
      </c>
      <c r="G169" s="8">
        <v>474</v>
      </c>
      <c r="H169" s="8">
        <v>5923</v>
      </c>
      <c r="I169" s="9">
        <v>8.3199999999999996E-2</v>
      </c>
      <c r="J169" s="9">
        <v>9.7000000000000003E-2</v>
      </c>
      <c r="K169" s="8">
        <f>H169-F169</f>
        <v>5430</v>
      </c>
      <c r="L169" s="26">
        <f>K169/H169</f>
        <v>0.91676515279419213</v>
      </c>
    </row>
    <row r="170" spans="1:12">
      <c r="A170" s="7" t="s">
        <v>12</v>
      </c>
      <c r="B170" s="21" t="s">
        <v>159</v>
      </c>
      <c r="C170" s="7" t="s">
        <v>31</v>
      </c>
      <c r="D170" s="9" t="s">
        <v>39</v>
      </c>
      <c r="E170" s="7">
        <v>42</v>
      </c>
      <c r="F170" s="8">
        <v>493</v>
      </c>
      <c r="G170" s="8">
        <v>474</v>
      </c>
      <c r="H170" s="8">
        <v>5923</v>
      </c>
      <c r="I170" s="9">
        <v>8.3199999999999996E-2</v>
      </c>
      <c r="J170" s="9">
        <v>8.8599999999999998E-2</v>
      </c>
      <c r="K170" s="8">
        <f>H170-F170</f>
        <v>5430</v>
      </c>
      <c r="L170" s="26">
        <f>K170/H170</f>
        <v>0.91676515279419213</v>
      </c>
    </row>
    <row r="171" spans="1:12">
      <c r="A171" s="7" t="s">
        <v>12</v>
      </c>
      <c r="B171" s="21" t="s">
        <v>159</v>
      </c>
      <c r="C171" s="7" t="s">
        <v>31</v>
      </c>
      <c r="D171" s="9" t="s">
        <v>164</v>
      </c>
      <c r="E171" s="7">
        <v>21</v>
      </c>
      <c r="F171" s="8">
        <v>493</v>
      </c>
      <c r="G171" s="8">
        <v>474</v>
      </c>
      <c r="H171" s="8">
        <v>5923</v>
      </c>
      <c r="I171" s="9">
        <v>8.3199999999999996E-2</v>
      </c>
      <c r="J171" s="9">
        <v>4.4299999999999999E-2</v>
      </c>
      <c r="K171" s="8">
        <f>H171-F171</f>
        <v>5430</v>
      </c>
      <c r="L171" s="26">
        <f>K171/H171</f>
        <v>0.91676515279419213</v>
      </c>
    </row>
    <row r="172" spans="1:12">
      <c r="A172" s="7" t="s">
        <v>12</v>
      </c>
      <c r="B172" s="21">
        <v>19821</v>
      </c>
      <c r="C172" s="7" t="s">
        <v>32</v>
      </c>
      <c r="D172" s="9" t="s">
        <v>165</v>
      </c>
      <c r="E172" s="7">
        <v>290</v>
      </c>
      <c r="F172" s="8">
        <v>692</v>
      </c>
      <c r="G172" s="8">
        <v>675</v>
      </c>
      <c r="H172" s="8">
        <v>7831</v>
      </c>
      <c r="I172" s="9">
        <v>8.8300000000000003E-2</v>
      </c>
      <c r="J172" s="9">
        <v>0.42959999999999998</v>
      </c>
      <c r="K172" s="8">
        <f>H172-F172</f>
        <v>7139</v>
      </c>
      <c r="L172" s="26">
        <f>K172/H172</f>
        <v>0.91163325245817906</v>
      </c>
    </row>
    <row r="173" spans="1:12">
      <c r="A173" s="7" t="s">
        <v>12</v>
      </c>
      <c r="B173" s="21">
        <v>19821</v>
      </c>
      <c r="C173" s="7" t="s">
        <v>32</v>
      </c>
      <c r="D173" s="9" t="s">
        <v>53</v>
      </c>
      <c r="E173" s="7">
        <v>185</v>
      </c>
      <c r="F173" s="8">
        <v>692</v>
      </c>
      <c r="G173" s="8">
        <v>675</v>
      </c>
      <c r="H173" s="8">
        <v>7831</v>
      </c>
      <c r="I173" s="9">
        <v>8.8300000000000003E-2</v>
      </c>
      <c r="J173" s="9">
        <v>0.27400000000000002</v>
      </c>
      <c r="K173" s="8">
        <f>H173-F173</f>
        <v>7139</v>
      </c>
      <c r="L173" s="26">
        <f>K173/H173</f>
        <v>0.91163325245817906</v>
      </c>
    </row>
    <row r="174" spans="1:12">
      <c r="A174" s="7" t="s">
        <v>12</v>
      </c>
      <c r="B174" s="21">
        <v>19821</v>
      </c>
      <c r="C174" s="7" t="s">
        <v>32</v>
      </c>
      <c r="D174" s="9" t="s">
        <v>166</v>
      </c>
      <c r="E174" s="7">
        <v>115</v>
      </c>
      <c r="F174" s="8">
        <v>692</v>
      </c>
      <c r="G174" s="8">
        <v>675</v>
      </c>
      <c r="H174" s="8">
        <v>7831</v>
      </c>
      <c r="I174" s="9">
        <v>8.8300000000000003E-2</v>
      </c>
      <c r="J174" s="9">
        <v>0.17030000000000001</v>
      </c>
      <c r="K174" s="8">
        <f>H174-F174</f>
        <v>7139</v>
      </c>
      <c r="L174" s="26">
        <f>K174/H174</f>
        <v>0.91163325245817906</v>
      </c>
    </row>
    <row r="175" spans="1:12">
      <c r="A175" s="7" t="s">
        <v>12</v>
      </c>
      <c r="B175" s="21">
        <v>19821</v>
      </c>
      <c r="C175" s="7" t="s">
        <v>32</v>
      </c>
      <c r="D175" s="9" t="s">
        <v>167</v>
      </c>
      <c r="E175" s="7">
        <v>53</v>
      </c>
      <c r="F175" s="8">
        <v>692</v>
      </c>
      <c r="G175" s="8">
        <v>675</v>
      </c>
      <c r="H175" s="8">
        <v>7831</v>
      </c>
      <c r="I175" s="9">
        <v>8.8300000000000003E-2</v>
      </c>
      <c r="J175" s="9">
        <v>7.85E-2</v>
      </c>
      <c r="K175" s="8">
        <f>H175-F175</f>
        <v>7139</v>
      </c>
      <c r="L175" s="26">
        <f>K175/H175</f>
        <v>0.91163325245817906</v>
      </c>
    </row>
    <row r="176" spans="1:12">
      <c r="A176" s="7" t="s">
        <v>12</v>
      </c>
      <c r="B176" s="21">
        <v>19821</v>
      </c>
      <c r="C176" s="7" t="s">
        <v>32</v>
      </c>
      <c r="D176" s="9" t="s">
        <v>52</v>
      </c>
      <c r="E176" s="7">
        <v>21</v>
      </c>
      <c r="F176" s="8">
        <v>692</v>
      </c>
      <c r="G176" s="8">
        <v>675</v>
      </c>
      <c r="H176" s="8">
        <v>7831</v>
      </c>
      <c r="I176" s="9">
        <v>8.8300000000000003E-2</v>
      </c>
      <c r="J176" s="9">
        <v>3.1099999999999999E-2</v>
      </c>
      <c r="K176" s="8">
        <f>H176-F176</f>
        <v>7139</v>
      </c>
      <c r="L176" s="26">
        <f>K176/H176</f>
        <v>0.91163325245817906</v>
      </c>
    </row>
    <row r="177" spans="1:12">
      <c r="A177" s="7" t="s">
        <v>12</v>
      </c>
      <c r="B177" s="21">
        <v>19821</v>
      </c>
      <c r="C177" s="7" t="s">
        <v>32</v>
      </c>
      <c r="D177" s="9" t="s">
        <v>82</v>
      </c>
      <c r="E177" s="7">
        <v>11</v>
      </c>
      <c r="F177" s="8">
        <v>692</v>
      </c>
      <c r="G177" s="8">
        <v>675</v>
      </c>
      <c r="H177" s="8">
        <v>7831</v>
      </c>
      <c r="I177" s="9">
        <v>8.8300000000000003E-2</v>
      </c>
      <c r="J177" s="9">
        <v>1.6199999999999999E-2</v>
      </c>
      <c r="K177" s="8">
        <f>H177-F177</f>
        <v>7139</v>
      </c>
      <c r="L177" s="26">
        <f>K177/H177</f>
        <v>0.91163325245817906</v>
      </c>
    </row>
    <row r="178" spans="1:12">
      <c r="A178" s="7" t="s">
        <v>12</v>
      </c>
      <c r="B178" s="21" t="s">
        <v>168</v>
      </c>
      <c r="C178" s="7" t="s">
        <v>33</v>
      </c>
      <c r="D178" s="9" t="s">
        <v>169</v>
      </c>
      <c r="E178" s="7">
        <v>203</v>
      </c>
      <c r="F178" s="8">
        <v>995</v>
      </c>
      <c r="G178" s="8">
        <v>978</v>
      </c>
      <c r="H178" s="8">
        <v>5044</v>
      </c>
      <c r="I178" s="9">
        <v>0.19719999999999999</v>
      </c>
      <c r="J178" s="9">
        <v>0.20749999999999999</v>
      </c>
      <c r="K178" s="8">
        <f>H178-F178</f>
        <v>4049</v>
      </c>
      <c r="L178" s="26">
        <f>K178/H178</f>
        <v>0.80273592386994452</v>
      </c>
    </row>
    <row r="179" spans="1:12">
      <c r="A179" s="7" t="s">
        <v>12</v>
      </c>
      <c r="B179" s="21" t="s">
        <v>168</v>
      </c>
      <c r="C179" s="7" t="s">
        <v>33</v>
      </c>
      <c r="D179" s="9" t="s">
        <v>170</v>
      </c>
      <c r="E179" s="7">
        <v>165</v>
      </c>
      <c r="F179" s="8">
        <v>995</v>
      </c>
      <c r="G179" s="8">
        <v>978</v>
      </c>
      <c r="H179" s="8">
        <v>5044</v>
      </c>
      <c r="I179" s="9">
        <v>0.19719999999999999</v>
      </c>
      <c r="J179" s="9">
        <v>0.16869999999999999</v>
      </c>
      <c r="K179" s="8">
        <f>H179-F179</f>
        <v>4049</v>
      </c>
      <c r="L179" s="26">
        <f>K179/H179</f>
        <v>0.80273592386994452</v>
      </c>
    </row>
    <row r="180" spans="1:12">
      <c r="A180" s="7" t="s">
        <v>12</v>
      </c>
      <c r="B180" s="21" t="s">
        <v>168</v>
      </c>
      <c r="C180" s="7" t="s">
        <v>33</v>
      </c>
      <c r="D180" s="9" t="s">
        <v>171</v>
      </c>
      <c r="E180" s="7">
        <v>153</v>
      </c>
      <c r="F180" s="8">
        <v>995</v>
      </c>
      <c r="G180" s="8">
        <v>978</v>
      </c>
      <c r="H180" s="8">
        <v>5044</v>
      </c>
      <c r="I180" s="9">
        <v>0.19719999999999999</v>
      </c>
      <c r="J180" s="9">
        <v>0.15640000000000001</v>
      </c>
      <c r="K180" s="8">
        <f>H180-F180</f>
        <v>4049</v>
      </c>
      <c r="L180" s="26">
        <f>K180/H180</f>
        <v>0.80273592386994452</v>
      </c>
    </row>
    <row r="181" spans="1:12">
      <c r="A181" s="7" t="s">
        <v>12</v>
      </c>
      <c r="B181" s="21" t="s">
        <v>168</v>
      </c>
      <c r="C181" s="7" t="s">
        <v>33</v>
      </c>
      <c r="D181" s="9" t="s">
        <v>172</v>
      </c>
      <c r="E181" s="7">
        <v>111</v>
      </c>
      <c r="F181" s="8">
        <v>995</v>
      </c>
      <c r="G181" s="8">
        <v>978</v>
      </c>
      <c r="H181" s="8">
        <v>5044</v>
      </c>
      <c r="I181" s="9">
        <v>0.19719999999999999</v>
      </c>
      <c r="J181" s="9">
        <v>0.1134</v>
      </c>
      <c r="K181" s="8">
        <f>H181-F181</f>
        <v>4049</v>
      </c>
      <c r="L181" s="26">
        <f>K181/H181</f>
        <v>0.80273592386994452</v>
      </c>
    </row>
    <row r="182" spans="1:12">
      <c r="A182" s="7" t="s">
        <v>12</v>
      </c>
      <c r="B182" s="21" t="s">
        <v>168</v>
      </c>
      <c r="C182" s="7" t="s">
        <v>33</v>
      </c>
      <c r="D182" s="9" t="s">
        <v>173</v>
      </c>
      <c r="E182" s="7">
        <v>92</v>
      </c>
      <c r="F182" s="8">
        <v>995</v>
      </c>
      <c r="G182" s="8">
        <v>978</v>
      </c>
      <c r="H182" s="8">
        <v>5044</v>
      </c>
      <c r="I182" s="9">
        <v>0.19719999999999999</v>
      </c>
      <c r="J182" s="9">
        <v>9.4E-2</v>
      </c>
      <c r="K182" s="8">
        <f>H182-F182</f>
        <v>4049</v>
      </c>
      <c r="L182" s="26">
        <f>K182/H182</f>
        <v>0.80273592386994452</v>
      </c>
    </row>
    <row r="183" spans="1:12">
      <c r="A183" s="7" t="s">
        <v>12</v>
      </c>
      <c r="B183" s="21" t="s">
        <v>168</v>
      </c>
      <c r="C183" s="7" t="s">
        <v>33</v>
      </c>
      <c r="D183" s="9" t="s">
        <v>174</v>
      </c>
      <c r="E183" s="7">
        <v>76</v>
      </c>
      <c r="F183" s="8">
        <v>995</v>
      </c>
      <c r="G183" s="8">
        <v>978</v>
      </c>
      <c r="H183" s="8">
        <v>5044</v>
      </c>
      <c r="I183" s="9">
        <v>0.19719999999999999</v>
      </c>
      <c r="J183" s="9">
        <v>7.7700000000000005E-2</v>
      </c>
      <c r="K183" s="8">
        <f>H183-F183</f>
        <v>4049</v>
      </c>
      <c r="L183" s="26">
        <f>K183/H183</f>
        <v>0.80273592386994452</v>
      </c>
    </row>
    <row r="184" spans="1:12">
      <c r="A184" s="7" t="s">
        <v>12</v>
      </c>
      <c r="B184" s="21" t="s">
        <v>168</v>
      </c>
      <c r="C184" s="7" t="s">
        <v>33</v>
      </c>
      <c r="D184" s="9" t="s">
        <v>175</v>
      </c>
      <c r="E184" s="7">
        <v>59</v>
      </c>
      <c r="F184" s="8">
        <v>995</v>
      </c>
      <c r="G184" s="8">
        <v>978</v>
      </c>
      <c r="H184" s="8">
        <v>5044</v>
      </c>
      <c r="I184" s="9">
        <v>0.19719999999999999</v>
      </c>
      <c r="J184" s="9">
        <v>6.0299999999999999E-2</v>
      </c>
      <c r="K184" s="8">
        <f>H184-F184</f>
        <v>4049</v>
      </c>
      <c r="L184" s="26">
        <f>K184/H184</f>
        <v>0.80273592386994452</v>
      </c>
    </row>
    <row r="185" spans="1:12">
      <c r="A185" s="7" t="s">
        <v>12</v>
      </c>
      <c r="B185" s="21" t="s">
        <v>168</v>
      </c>
      <c r="C185" s="7" t="s">
        <v>33</v>
      </c>
      <c r="D185" s="9" t="s">
        <v>53</v>
      </c>
      <c r="E185" s="7">
        <v>38</v>
      </c>
      <c r="F185" s="8">
        <v>995</v>
      </c>
      <c r="G185" s="8">
        <v>978</v>
      </c>
      <c r="H185" s="8">
        <v>5044</v>
      </c>
      <c r="I185" s="9">
        <v>0.19719999999999999</v>
      </c>
      <c r="J185" s="9">
        <v>3.8800000000000001E-2</v>
      </c>
      <c r="K185" s="8">
        <f>H185-F185</f>
        <v>4049</v>
      </c>
      <c r="L185" s="26">
        <f>K185/H185</f>
        <v>0.80273592386994452</v>
      </c>
    </row>
    <row r="186" spans="1:12">
      <c r="A186" s="7" t="s">
        <v>12</v>
      </c>
      <c r="B186" s="21" t="s">
        <v>168</v>
      </c>
      <c r="C186" s="7" t="s">
        <v>33</v>
      </c>
      <c r="D186" s="9" t="s">
        <v>39</v>
      </c>
      <c r="E186" s="7">
        <v>34</v>
      </c>
      <c r="F186" s="8">
        <v>995</v>
      </c>
      <c r="G186" s="8">
        <v>978</v>
      </c>
      <c r="H186" s="8">
        <v>5044</v>
      </c>
      <c r="I186" s="9">
        <v>0.19719999999999999</v>
      </c>
      <c r="J186" s="9">
        <v>3.4700000000000002E-2</v>
      </c>
      <c r="K186" s="8">
        <f>H186-F186</f>
        <v>4049</v>
      </c>
      <c r="L186" s="26">
        <f>K186/H186</f>
        <v>0.80273592386994452</v>
      </c>
    </row>
    <row r="187" spans="1:12">
      <c r="A187" s="7" t="s">
        <v>12</v>
      </c>
      <c r="B187" s="21" t="s">
        <v>168</v>
      </c>
      <c r="C187" s="7" t="s">
        <v>33</v>
      </c>
      <c r="D187" s="9" t="s">
        <v>176</v>
      </c>
      <c r="E187" s="7">
        <v>24</v>
      </c>
      <c r="F187" s="8">
        <v>995</v>
      </c>
      <c r="G187" s="8">
        <v>978</v>
      </c>
      <c r="H187" s="8">
        <v>5044</v>
      </c>
      <c r="I187" s="9">
        <v>0.19719999999999999</v>
      </c>
      <c r="J187" s="9">
        <v>2.4500000000000001E-2</v>
      </c>
      <c r="K187" s="8">
        <f>H187-F187</f>
        <v>4049</v>
      </c>
      <c r="L187" s="26">
        <f>K187/H187</f>
        <v>0.80273592386994452</v>
      </c>
    </row>
    <row r="188" spans="1:12">
      <c r="A188" s="7" t="s">
        <v>12</v>
      </c>
      <c r="B188" s="21" t="s">
        <v>168</v>
      </c>
      <c r="C188" s="7" t="s">
        <v>33</v>
      </c>
      <c r="D188" s="9" t="s">
        <v>177</v>
      </c>
      <c r="E188" s="7">
        <v>18</v>
      </c>
      <c r="F188" s="8">
        <v>995</v>
      </c>
      <c r="G188" s="8">
        <v>978</v>
      </c>
      <c r="H188" s="8">
        <v>5044</v>
      </c>
      <c r="I188" s="9">
        <v>0.19719999999999999</v>
      </c>
      <c r="J188" s="9">
        <v>1.84E-2</v>
      </c>
      <c r="K188" s="8">
        <f>H188-F188</f>
        <v>4049</v>
      </c>
      <c r="L188" s="26">
        <f>K188/H188</f>
        <v>0.80273592386994452</v>
      </c>
    </row>
    <row r="189" spans="1:12">
      <c r="A189" s="7" t="s">
        <v>12</v>
      </c>
      <c r="B189" s="23" t="s">
        <v>168</v>
      </c>
      <c r="C189" s="17" t="s">
        <v>33</v>
      </c>
      <c r="D189" s="18" t="s">
        <v>82</v>
      </c>
      <c r="E189" s="17">
        <v>5</v>
      </c>
      <c r="F189" s="19">
        <v>995</v>
      </c>
      <c r="G189" s="19">
        <v>978</v>
      </c>
      <c r="H189" s="19">
        <v>5044</v>
      </c>
      <c r="I189" s="18">
        <v>0.19719999999999999</v>
      </c>
      <c r="J189" s="18">
        <v>5.1000000000000004E-3</v>
      </c>
      <c r="K189" s="19">
        <f>H189-F189</f>
        <v>4049</v>
      </c>
      <c r="L189" s="27">
        <f>K189/H189</f>
        <v>0.80273592386994452</v>
      </c>
    </row>
    <row r="190" spans="1:12">
      <c r="D19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2025-11-04T18:58:31Z</dcterms:created>
  <dcterms:modified xsi:type="dcterms:W3CDTF">2025-11-05T13:30:20Z</dcterms:modified>
  <cp:category/>
  <cp:contentStatus/>
</cp:coreProperties>
</file>